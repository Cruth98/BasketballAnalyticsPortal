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bfilm/Documents/BasketballAnalyticsPortal/Data/WarsAnalysis/"/>
    </mc:Choice>
  </mc:AlternateContent>
  <xr:revisionPtr revIDLastSave="0" documentId="13_ncr:1_{3EE7AE8B-ED0A-C242-91F9-B4242ED4B653}" xr6:coauthVersionLast="47" xr6:coauthVersionMax="47" xr10:uidLastSave="{00000000-0000-0000-0000-000000000000}"/>
  <bookViews>
    <workbookView xWindow="0" yWindow="660" windowWidth="29200" windowHeight="18980" xr2:uid="{844EBB4D-025B-E04F-A75E-E177307491E4}"/>
  </bookViews>
  <sheets>
    <sheet name="Wars Analysis" sheetId="1" r:id="rId1"/>
    <sheet name="Wars to Analyze by Lineup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" i="1" l="1"/>
  <c r="E163" i="1"/>
  <c r="E164" i="1"/>
  <c r="E165" i="1"/>
  <c r="E166" i="1"/>
  <c r="E167" i="1"/>
  <c r="E168" i="1"/>
  <c r="E169" i="1"/>
  <c r="E170" i="1"/>
  <c r="E171" i="1"/>
  <c r="E172" i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62" i="1"/>
  <c r="D163" i="1"/>
  <c r="D164" i="1"/>
  <c r="D165" i="1"/>
  <c r="D166" i="1"/>
  <c r="D167" i="1"/>
  <c r="D168" i="1"/>
  <c r="D169" i="1"/>
  <c r="D170" i="1"/>
  <c r="D171" i="1"/>
  <c r="D172" i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2" i="1"/>
  <c r="E2" i="1" s="1"/>
</calcChain>
</file>

<file path=xl/sharedStrings.xml><?xml version="1.0" encoding="utf-8"?>
<sst xmlns="http://schemas.openxmlformats.org/spreadsheetml/2006/main" count="688" uniqueCount="104">
  <si>
    <t>WarNum</t>
  </si>
  <si>
    <t>BU_Score</t>
  </si>
  <si>
    <t>Opp_Score</t>
  </si>
  <si>
    <t>ScoreDiff</t>
  </si>
  <si>
    <t>Opponent</t>
  </si>
  <si>
    <t>GameWon</t>
  </si>
  <si>
    <t>USI</t>
  </si>
  <si>
    <t>Centre</t>
  </si>
  <si>
    <t>UGA</t>
  </si>
  <si>
    <t>Kstate</t>
  </si>
  <si>
    <t>Hanover</t>
  </si>
  <si>
    <t>Wofford</t>
  </si>
  <si>
    <t>Notre Dame</t>
  </si>
  <si>
    <t>Citadel</t>
  </si>
  <si>
    <t>HCU</t>
  </si>
  <si>
    <t>Midway</t>
  </si>
  <si>
    <t>Murray</t>
  </si>
  <si>
    <t>NKU</t>
  </si>
  <si>
    <t>Chattanooga</t>
  </si>
  <si>
    <t>Kentucky</t>
  </si>
  <si>
    <t>West Georgia</t>
  </si>
  <si>
    <t>Queens</t>
  </si>
  <si>
    <t>WarWon</t>
  </si>
  <si>
    <t>ConfGame</t>
  </si>
  <si>
    <t>WarLabel</t>
  </si>
  <si>
    <t>Half</t>
  </si>
  <si>
    <t>20-16</t>
  </si>
  <si>
    <t>16-12</t>
  </si>
  <si>
    <t>12-8</t>
  </si>
  <si>
    <t>8-4</t>
  </si>
  <si>
    <t>4-0</t>
  </si>
  <si>
    <t>AnalyzeNeeded</t>
  </si>
  <si>
    <t>GameOrder</t>
  </si>
  <si>
    <t>TotalScoreDiff</t>
  </si>
  <si>
    <t>LineupNet</t>
  </si>
  <si>
    <t>Lineup</t>
  </si>
  <si>
    <t>Net</t>
  </si>
  <si>
    <t>Off TOV</t>
  </si>
  <si>
    <t>DB KG MWJ SD BW</t>
  </si>
  <si>
    <t>DB MW MWJ TD JK</t>
  </si>
  <si>
    <t>Off PTS</t>
  </si>
  <si>
    <t>Opp PTS</t>
  </si>
  <si>
    <t>Opp TOVs</t>
  </si>
  <si>
    <t>Lineup Time</t>
  </si>
  <si>
    <t>MW KG MWJ BW JK</t>
  </si>
  <si>
    <t>MW KG SD BW JK</t>
  </si>
  <si>
    <t>DB MWJ SD TD JK</t>
  </si>
  <si>
    <t>GW MWJ SD TD JK</t>
  </si>
  <si>
    <t>GW SD TD BW JK</t>
  </si>
  <si>
    <t>MW KG SD TD DH</t>
  </si>
  <si>
    <t>TD KG SD DH BW</t>
  </si>
  <si>
    <t>TD KG BW DH JK</t>
  </si>
  <si>
    <t>DB KG MWJ BW JK</t>
  </si>
  <si>
    <t>TD KG SD BW JK</t>
  </si>
  <si>
    <t>MW MWJ SD TD BW</t>
  </si>
  <si>
    <t>MW SD BW TD JK</t>
  </si>
  <si>
    <t>DB KG MWJ SD JK</t>
  </si>
  <si>
    <t>GW KG SD BW JK</t>
  </si>
  <si>
    <t>GW KG MWJ SD JK</t>
  </si>
  <si>
    <t>GW MW KG BW JK</t>
  </si>
  <si>
    <t>DB GW MW SD JK</t>
  </si>
  <si>
    <t>DB KG SD BW JK</t>
  </si>
  <si>
    <t>DB GW KG MWJ JK</t>
  </si>
  <si>
    <t>DB GW KG MWJ SD</t>
  </si>
  <si>
    <t>DB GW MW MWJ SD</t>
  </si>
  <si>
    <t>DB GW MWJ BW DH</t>
  </si>
  <si>
    <t>GW KG MWJ BW JK</t>
  </si>
  <si>
    <t>KG MWJ SD BW JK</t>
  </si>
  <si>
    <t>DB KG SD DH JK</t>
  </si>
  <si>
    <t>MW KG SD BW DH</t>
  </si>
  <si>
    <t>DB KG MWJ DH JK</t>
  </si>
  <si>
    <t>MW KG MWJ DH JK</t>
  </si>
  <si>
    <t>KG MWJ BW DH JK</t>
  </si>
  <si>
    <t>MW MWJ SD BW JK</t>
  </si>
  <si>
    <t>MW KG SD DH JK</t>
  </si>
  <si>
    <t>DB MWJ SD BW DH</t>
  </si>
  <si>
    <t>KG MWJ SD DH JK</t>
  </si>
  <si>
    <t xml:space="preserve">DB MWJ BW DH JK </t>
  </si>
  <si>
    <t>DB KG BW DH JK</t>
  </si>
  <si>
    <t>DB KG MWJ TD BW</t>
  </si>
  <si>
    <t>MW MWJ BW TD JK</t>
  </si>
  <si>
    <t>MW KG SD JK DH</t>
  </si>
  <si>
    <t>DB KG SD JK DH</t>
  </si>
  <si>
    <t>MW SD TD BW JK</t>
  </si>
  <si>
    <t>DB GW SD BW DH</t>
  </si>
  <si>
    <t>DB GW SD DH JK</t>
  </si>
  <si>
    <t>TD MWJ SD BW JK</t>
  </si>
  <si>
    <t>MW KG MWJ BW DH</t>
  </si>
  <si>
    <t>MW KG BW DH JK</t>
  </si>
  <si>
    <t>DB MWJ TD BW JK</t>
  </si>
  <si>
    <t>TD KG MWJ BW JK</t>
  </si>
  <si>
    <t>Row Labels</t>
  </si>
  <si>
    <t>Grand Total</t>
  </si>
  <si>
    <t>Count of Lineup</t>
  </si>
  <si>
    <t>Seconds</t>
  </si>
  <si>
    <t>Average of Seconds</t>
  </si>
  <si>
    <t>Opponent TOVs</t>
  </si>
  <si>
    <t>PTS Allowed</t>
  </si>
  <si>
    <t>Offensive TOVs</t>
  </si>
  <si>
    <t>PTS Scored</t>
  </si>
  <si>
    <t>UCA</t>
  </si>
  <si>
    <t>5-0</t>
  </si>
  <si>
    <t>HomeGame</t>
  </si>
  <si>
    <t>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</si>
</sst>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0" fontId="0" fillId="0" borderId="4" xfId="0" applyBorder="1"/>
    <xf numFmtId="20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0" fontId="0" fillId="0" borderId="10" xfId="0" applyNumberFormat="1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0.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BB Film" refreshedDate="46027.603599652779" createdVersion="8" refreshedVersion="8" minRefreshableVersion="3" recordCount="78" xr:uid="{55C9FAAE-8D43-2B46-B4A4-FF6E07C45319}">
  <cacheSource type="worksheet">
    <worksheetSource name="WarByLineup"/>
  </cacheSource>
  <cacheFields count="22">
    <cacheField name="WarNum" numFmtId="0">
      <sharedItems containsSemiMixedTypes="0" containsString="0" containsNumber="1" containsInteger="1" minValue="1" maxValue="9"/>
    </cacheField>
    <cacheField name="BU_Score" numFmtId="0">
      <sharedItems containsSemiMixedTypes="0" containsString="0" containsNumber="1" containsInteger="1" minValue="2" maxValue="15"/>
    </cacheField>
    <cacheField name="Opp_Score" numFmtId="0">
      <sharedItems containsSemiMixedTypes="0" containsString="0" containsNumber="1" containsInteger="1" minValue="0" maxValue="15"/>
    </cacheField>
    <cacheField name="TotalScoreDiff" numFmtId="0">
      <sharedItems containsSemiMixedTypes="0" containsString="0" containsNumber="1" containsInteger="1" minValue="-10" maxValue="11"/>
    </cacheField>
    <cacheField name="WarWon" numFmtId="0">
      <sharedItems containsSemiMixedTypes="0" containsString="0" containsNumber="1" containsInteger="1" minValue="0" maxValue="1" count="2">
        <n v="0"/>
        <n v="1"/>
      </sharedItems>
    </cacheField>
    <cacheField name="GameWon" numFmtId="0">
      <sharedItems containsSemiMixedTypes="0" containsString="0" containsNumber="1" containsInteger="1" minValue="0" maxValue="1"/>
    </cacheField>
    <cacheField name="Opponent" numFmtId="0">
      <sharedItems/>
    </cacheField>
    <cacheField name="ConfGame" numFmtId="0">
      <sharedItems containsSemiMixedTypes="0" containsString="0" containsNumber="1" containsInteger="1" minValue="0" maxValue="1"/>
    </cacheField>
    <cacheField name="WarLabel" numFmtId="0">
      <sharedItems/>
    </cacheField>
    <cacheField name="Half" numFmtId="0">
      <sharedItems containsSemiMixedTypes="0" containsString="0" containsNumber="1" containsInteger="1" minValue="1" maxValue="2"/>
    </cacheField>
    <cacheField name="AnalyzeNeeded" numFmtId="0">
      <sharedItems containsString="0" containsBlank="1" containsNumber="1" containsInteger="1" minValue="1" maxValue="1"/>
    </cacheField>
    <cacheField name="GameOrder" numFmtId="0">
      <sharedItems containsString="0" containsBlank="1" containsNumber="1" containsInteger="1" minValue="6" maxValue="16"/>
    </cacheField>
    <cacheField name="Lineup" numFmtId="0">
      <sharedItems count="49">
        <s v="DB MW MWJ TD JK"/>
        <s v="MW KG MWJ BW JK"/>
        <s v="MW KG SD BW JK"/>
        <s v="DB MWJ SD TD JK"/>
        <s v="GW MWJ SD TD JK"/>
        <s v="GW SD TD BW JK"/>
        <s v="MW KG SD TD DH"/>
        <s v="TD KG SD DH BW"/>
        <s v="TD KG BW DH JK"/>
        <s v="DB KG MWJ BW JK"/>
        <s v="DB KG MWJ SD BW"/>
        <s v="TD KG SD BW JK"/>
        <s v="MW MWJ SD TD BW"/>
        <s v="MW SD BW TD JK"/>
        <s v="DB KG MWJ SD JK"/>
        <s v="GW KG SD BW JK"/>
        <s v="GW KG MWJ SD JK"/>
        <s v="GW MW KG BW JK"/>
        <s v="DB GW MW SD JK"/>
        <s v="DB KG SD BW JK"/>
        <s v="DB GW KG MWJ JK"/>
        <s v="DB GW KG MWJ SD"/>
        <s v="DB GW MW MWJ SD"/>
        <s v="DB GW MWJ BW DH"/>
        <s v="GW KG MWJ BW JK"/>
        <s v="KG MWJ SD BW JK"/>
        <s v="DB KG SD DH JK"/>
        <s v="MW KG SD BW DH"/>
        <s v="DB KG MWJ DH JK"/>
        <s v="KG MWJ BW DH JK"/>
        <s v="MW KG MWJ DH JK"/>
        <s v="MW MWJ SD BW JK"/>
        <s v="MW KG SD DH JK"/>
        <s v="DB MWJ SD BW DH"/>
        <s v="KG MWJ SD DH JK"/>
        <s v="DB MWJ BW DH JK "/>
        <s v="DB KG BW DH JK"/>
        <s v="DB KG MWJ TD BW"/>
        <s v="MW MWJ BW TD JK"/>
        <s v="MW KG SD JK DH"/>
        <s v="DB KG SD JK DH"/>
        <s v="MW SD TD BW JK"/>
        <s v="DB GW SD BW DH"/>
        <s v="DB GW SD DH JK"/>
        <s v="TD MWJ SD BW JK"/>
        <s v="MW KG MWJ BW DH"/>
        <s v="MW KG BW DH JK"/>
        <s v="DB MWJ TD BW JK"/>
        <s v="TD KG MWJ BW JK"/>
      </sharedItems>
    </cacheField>
    <cacheField name="Lineup Time" numFmtId="20">
      <sharedItems containsSemiMixedTypes="0" containsNonDate="0" containsDate="1" containsString="0" minDate="1899-12-30T00:00:00" maxDate="1899-12-30T06:19:00" count="66">
        <d v="1899-12-30T01:13:00"/>
        <d v="1899-12-30T00:40:00"/>
        <d v="1899-12-30T01:43:00"/>
        <d v="1899-12-30T01:12:00"/>
        <d v="1899-12-30T00:18:00"/>
        <d v="1899-12-30T01:35:00"/>
        <d v="1899-12-30T01:09:00"/>
        <d v="1899-12-30T00:00:00"/>
        <d v="1899-12-30T01:14:00"/>
        <d v="1899-12-30T00:36:00"/>
        <d v="1899-12-30T00:01:00"/>
        <d v="1899-12-30T01:41:00"/>
        <d v="1899-12-30T00:27:00"/>
        <d v="1899-12-30T01:10:00"/>
        <d v="1899-12-30T00:51:00"/>
        <d v="1899-12-30T00:21:00"/>
        <d v="1899-12-30T03:16:00"/>
        <d v="1899-12-30T02:42:00"/>
        <d v="1899-12-30T03:33:00"/>
        <d v="1899-12-30T01:06:00"/>
        <d v="1899-12-30T00:57:00"/>
        <d v="1899-12-30T03:34:00"/>
        <d v="1899-12-30T00:50:00"/>
        <d v="1899-12-30T00:32:00"/>
        <d v="1899-12-30T02:04:00"/>
        <d v="1899-12-30T02:46:00"/>
        <d v="1899-12-30T00:33:00"/>
        <d v="1899-12-30T01:00:00"/>
        <d v="1899-12-30T00:11:00"/>
        <d v="1899-12-30T00:13:00"/>
        <d v="1899-12-30T02:20:00"/>
        <d v="1899-12-30T02:35:00"/>
        <d v="1899-12-30T01:02:00"/>
        <d v="1899-12-30T00:30:00"/>
        <d v="1899-12-30T01:04:00"/>
        <d v="1899-12-30T06:19:00"/>
        <d v="1899-12-30T01:07:00"/>
        <d v="1899-12-30T02:00:00"/>
        <d v="1899-12-30T03:53:00"/>
        <d v="1899-12-30T00:55:00"/>
        <d v="1899-12-30T04:06:00"/>
        <d v="1899-12-30T00:25:00"/>
        <d v="1899-12-30T05:34:00"/>
        <d v="1899-12-30T01:44:00"/>
        <d v="1899-12-30T02:07:00"/>
        <d v="1899-12-30T03:20:00"/>
        <d v="1899-12-30T01:49:00"/>
        <d v="1899-12-30T01:24:00"/>
        <d v="1899-12-30T01:39:00"/>
        <d v="1899-12-30T01:23:00"/>
        <d v="1899-12-30T02:10:00"/>
        <d v="1899-12-30T01:59:00"/>
        <d v="1899-12-30T01:31:00"/>
        <d v="1899-12-30T00:44:00"/>
        <d v="1899-12-30T02:23:00"/>
        <d v="1899-12-30T03:46:00"/>
        <d v="1899-12-30T00:20:00"/>
        <d v="1899-12-30T00:52:00"/>
        <d v="1899-12-30T00:48:00"/>
        <d v="1899-12-30T01:32:00"/>
        <d v="1899-12-30T01:40:00"/>
        <d v="1899-12-30T00:42:00"/>
        <d v="1899-12-30T00:26:00"/>
        <d v="1899-12-30T00:49:00"/>
        <d v="1899-12-30T00:15:00"/>
        <d v="1899-12-30T00:59:00"/>
      </sharedItems>
      <fieldGroup par="21"/>
    </cacheField>
    <cacheField name="Net" numFmtId="0">
      <sharedItems containsSemiMixedTypes="0" containsString="0" containsNumber="1" containsInteger="1" minValue="-9" maxValue="9"/>
    </cacheField>
    <cacheField name="Off PTS" numFmtId="0">
      <sharedItems containsSemiMixedTypes="0" containsString="0" containsNumber="1" containsInteger="1" minValue="0" maxValue="14"/>
    </cacheField>
    <cacheField name="Off TOV" numFmtId="0">
      <sharedItems containsSemiMixedTypes="0" containsString="0" containsNumber="1" containsInteger="1" minValue="0" maxValue="3"/>
    </cacheField>
    <cacheField name="Opp PTS" numFmtId="0">
      <sharedItems containsSemiMixedTypes="0" containsString="0" containsNumber="1" containsInteger="1" minValue="0" maxValue="12"/>
    </cacheField>
    <cacheField name="Opp TOVs" numFmtId="0">
      <sharedItems containsSemiMixedTypes="0" containsString="0" containsNumber="1" containsInteger="1" minValue="0" maxValue="3"/>
    </cacheField>
    <cacheField name="Seconds" numFmtId="0">
      <sharedItems containsSemiMixedTypes="0" containsString="0" containsNumber="1" containsInteger="1" minValue="0" maxValue="379"/>
    </cacheField>
    <cacheField name="Minutes (Lineup Time)" numFmtId="0" databaseField="0">
      <fieldGroup base="13">
        <rangePr groupBy="minutes" startDate="1899-12-30T00:00:00" endDate="1899-12-30T06:19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Lineup Time)" numFmtId="0" databaseField="0">
      <fieldGroup base="13">
        <rangePr groupBy="hours" startDate="1899-12-30T00:00:00" endDate="1899-12-30T06:19:00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"/>
    <n v="5"/>
    <n v="14"/>
    <n v="-9"/>
    <x v="0"/>
    <n v="0"/>
    <s v="Wofford"/>
    <n v="0"/>
    <s v="16-12"/>
    <n v="1"/>
    <n v="1"/>
    <n v="6"/>
    <x v="0"/>
    <x v="0"/>
    <n v="-1"/>
    <n v="2"/>
    <n v="1"/>
    <n v="3"/>
    <n v="1"/>
    <n v="73"/>
  </r>
  <r>
    <n v="2"/>
    <n v="5"/>
    <n v="14"/>
    <n v="-9"/>
    <x v="0"/>
    <n v="0"/>
    <s v="Wofford"/>
    <n v="0"/>
    <s v="16-12"/>
    <n v="1"/>
    <n v="1"/>
    <n v="6"/>
    <x v="1"/>
    <x v="1"/>
    <n v="-2"/>
    <n v="0"/>
    <n v="0"/>
    <n v="2"/>
    <n v="0"/>
    <n v="40"/>
  </r>
  <r>
    <n v="2"/>
    <n v="5"/>
    <n v="14"/>
    <n v="-9"/>
    <x v="0"/>
    <n v="0"/>
    <s v="Wofford"/>
    <n v="0"/>
    <s v="16-12"/>
    <n v="1"/>
    <n v="1"/>
    <n v="6"/>
    <x v="2"/>
    <x v="2"/>
    <n v="-4"/>
    <n v="3"/>
    <n v="0"/>
    <n v="7"/>
    <n v="0"/>
    <n v="103"/>
  </r>
  <r>
    <n v="4"/>
    <n v="2"/>
    <n v="10"/>
    <n v="-8"/>
    <x v="0"/>
    <n v="0"/>
    <s v="Wofford"/>
    <n v="0"/>
    <s v="8-4"/>
    <n v="1"/>
    <n v="1"/>
    <n v="6"/>
    <x v="3"/>
    <x v="3"/>
    <n v="-1"/>
    <n v="2"/>
    <n v="0"/>
    <n v="3"/>
    <n v="0"/>
    <n v="72"/>
  </r>
  <r>
    <n v="4"/>
    <n v="2"/>
    <n v="10"/>
    <n v="-8"/>
    <x v="0"/>
    <n v="0"/>
    <s v="Wofford"/>
    <n v="0"/>
    <s v="8-4"/>
    <n v="1"/>
    <n v="1"/>
    <n v="6"/>
    <x v="4"/>
    <x v="4"/>
    <n v="0"/>
    <n v="0"/>
    <n v="0"/>
    <n v="0"/>
    <n v="0"/>
    <n v="18"/>
  </r>
  <r>
    <n v="4"/>
    <n v="2"/>
    <n v="10"/>
    <n v="-8"/>
    <x v="0"/>
    <n v="0"/>
    <s v="Wofford"/>
    <n v="0"/>
    <s v="8-4"/>
    <n v="1"/>
    <n v="1"/>
    <n v="6"/>
    <x v="5"/>
    <x v="5"/>
    <n v="-7"/>
    <n v="0"/>
    <n v="0"/>
    <n v="7"/>
    <n v="0"/>
    <n v="95"/>
  </r>
  <r>
    <n v="3"/>
    <n v="10"/>
    <n v="6"/>
    <n v="4"/>
    <x v="1"/>
    <n v="0"/>
    <s v="Wofford"/>
    <n v="0"/>
    <s v="12-8"/>
    <n v="1"/>
    <n v="1"/>
    <n v="6"/>
    <x v="6"/>
    <x v="6"/>
    <n v="1"/>
    <n v="3"/>
    <n v="0"/>
    <n v="2"/>
    <n v="1"/>
    <n v="69"/>
  </r>
  <r>
    <n v="3"/>
    <n v="10"/>
    <n v="6"/>
    <n v="4"/>
    <x v="1"/>
    <n v="0"/>
    <s v="Wofford"/>
    <n v="0"/>
    <s v="12-8"/>
    <n v="1"/>
    <n v="1"/>
    <n v="6"/>
    <x v="7"/>
    <x v="7"/>
    <n v="1"/>
    <n v="1"/>
    <n v="0"/>
    <n v="0"/>
    <n v="0"/>
    <n v="0"/>
  </r>
  <r>
    <n v="3"/>
    <n v="10"/>
    <n v="6"/>
    <n v="4"/>
    <x v="1"/>
    <n v="0"/>
    <s v="Wofford"/>
    <n v="0"/>
    <s v="12-8"/>
    <n v="1"/>
    <n v="1"/>
    <n v="6"/>
    <x v="8"/>
    <x v="8"/>
    <n v="-2"/>
    <n v="1"/>
    <n v="0"/>
    <n v="3"/>
    <n v="0"/>
    <n v="74"/>
  </r>
  <r>
    <n v="3"/>
    <n v="10"/>
    <n v="6"/>
    <n v="4"/>
    <x v="1"/>
    <n v="0"/>
    <s v="Wofford"/>
    <n v="0"/>
    <s v="12-8"/>
    <n v="1"/>
    <n v="1"/>
    <n v="6"/>
    <x v="9"/>
    <x v="9"/>
    <n v="-2"/>
    <n v="1"/>
    <n v="0"/>
    <n v="3"/>
    <n v="0"/>
    <n v="36"/>
  </r>
  <r>
    <n v="3"/>
    <n v="10"/>
    <n v="6"/>
    <n v="4"/>
    <x v="1"/>
    <n v="0"/>
    <s v="Wofford"/>
    <n v="0"/>
    <s v="12-8"/>
    <n v="1"/>
    <n v="1"/>
    <n v="6"/>
    <x v="9"/>
    <x v="10"/>
    <n v="2"/>
    <n v="2"/>
    <n v="0"/>
    <n v="0"/>
    <n v="0"/>
    <n v="1"/>
  </r>
  <r>
    <n v="3"/>
    <n v="10"/>
    <n v="6"/>
    <n v="4"/>
    <x v="1"/>
    <n v="0"/>
    <s v="Wofford"/>
    <n v="0"/>
    <s v="12-8"/>
    <n v="1"/>
    <n v="1"/>
    <n v="6"/>
    <x v="10"/>
    <x v="11"/>
    <n v="2"/>
    <n v="2"/>
    <n v="0"/>
    <n v="0"/>
    <n v="1"/>
    <n v="101"/>
  </r>
  <r>
    <n v="8"/>
    <n v="15"/>
    <n v="4"/>
    <n v="11"/>
    <x v="1"/>
    <n v="0"/>
    <s v="Wofford"/>
    <n v="0"/>
    <s v="12-8"/>
    <n v="2"/>
    <n v="1"/>
    <n v="6"/>
    <x v="11"/>
    <x v="12"/>
    <n v="1"/>
    <n v="1"/>
    <n v="0"/>
    <n v="0"/>
    <n v="0"/>
    <n v="27"/>
  </r>
  <r>
    <n v="8"/>
    <n v="15"/>
    <n v="4"/>
    <n v="11"/>
    <x v="1"/>
    <n v="0"/>
    <s v="Wofford"/>
    <n v="0"/>
    <s v="12-8"/>
    <n v="2"/>
    <m/>
    <m/>
    <x v="7"/>
    <x v="13"/>
    <n v="1"/>
    <n v="5"/>
    <n v="0"/>
    <n v="4"/>
    <n v="0"/>
    <n v="70"/>
  </r>
  <r>
    <n v="8"/>
    <n v="15"/>
    <n v="4"/>
    <n v="11"/>
    <x v="1"/>
    <n v="0"/>
    <s v="Wofford"/>
    <n v="0"/>
    <s v="12-8"/>
    <n v="2"/>
    <m/>
    <m/>
    <x v="12"/>
    <x v="14"/>
    <n v="0"/>
    <n v="0"/>
    <n v="0"/>
    <n v="0"/>
    <n v="1"/>
    <n v="51"/>
  </r>
  <r>
    <n v="8"/>
    <n v="15"/>
    <n v="4"/>
    <n v="11"/>
    <x v="1"/>
    <n v="0"/>
    <s v="Wofford"/>
    <n v="0"/>
    <s v="12-8"/>
    <n v="2"/>
    <m/>
    <m/>
    <x v="13"/>
    <x v="15"/>
    <n v="2"/>
    <n v="2"/>
    <n v="0"/>
    <n v="0"/>
    <n v="0"/>
    <n v="21"/>
  </r>
  <r>
    <n v="8"/>
    <n v="15"/>
    <n v="4"/>
    <n v="11"/>
    <x v="1"/>
    <n v="0"/>
    <s v="Wofford"/>
    <n v="0"/>
    <s v="12-8"/>
    <n v="2"/>
    <m/>
    <m/>
    <x v="11"/>
    <x v="16"/>
    <n v="6"/>
    <n v="10"/>
    <n v="0"/>
    <n v="4"/>
    <n v="2"/>
    <n v="196"/>
  </r>
  <r>
    <n v="1"/>
    <n v="5"/>
    <n v="9"/>
    <n v="-4"/>
    <x v="0"/>
    <n v="1"/>
    <s v="Citadel"/>
    <n v="0"/>
    <s v="20-16"/>
    <n v="1"/>
    <n v="1"/>
    <n v="8"/>
    <x v="2"/>
    <x v="17"/>
    <n v="-2"/>
    <n v="0"/>
    <n v="1"/>
    <n v="2"/>
    <n v="0"/>
    <n v="162"/>
  </r>
  <r>
    <n v="1"/>
    <n v="5"/>
    <n v="9"/>
    <n v="-4"/>
    <x v="0"/>
    <n v="1"/>
    <s v="Citadel"/>
    <n v="0"/>
    <s v="20-16"/>
    <n v="1"/>
    <n v="1"/>
    <n v="8"/>
    <x v="10"/>
    <x v="18"/>
    <n v="-2"/>
    <n v="5"/>
    <n v="0"/>
    <n v="7"/>
    <n v="0"/>
    <n v="213"/>
  </r>
  <r>
    <n v="2"/>
    <n v="2"/>
    <n v="4"/>
    <n v="-2"/>
    <x v="0"/>
    <n v="1"/>
    <s v="Citadel"/>
    <n v="0"/>
    <s v="16-12"/>
    <n v="1"/>
    <n v="1"/>
    <n v="8"/>
    <x v="14"/>
    <x v="19"/>
    <n v="0"/>
    <n v="2"/>
    <n v="0"/>
    <n v="2"/>
    <n v="0"/>
    <n v="66"/>
  </r>
  <r>
    <n v="2"/>
    <n v="2"/>
    <n v="4"/>
    <n v="-2"/>
    <x v="0"/>
    <n v="1"/>
    <s v="Citadel"/>
    <n v="0"/>
    <s v="16-12"/>
    <n v="1"/>
    <n v="1"/>
    <n v="8"/>
    <x v="1"/>
    <x v="20"/>
    <n v="-2"/>
    <n v="0"/>
    <n v="0"/>
    <n v="2"/>
    <n v="0"/>
    <n v="57"/>
  </r>
  <r>
    <n v="6"/>
    <n v="7"/>
    <n v="1"/>
    <n v="6"/>
    <x v="1"/>
    <n v="1"/>
    <s v="Citadel"/>
    <n v="0"/>
    <s v="20-16"/>
    <n v="2"/>
    <n v="1"/>
    <n v="8"/>
    <x v="2"/>
    <x v="21"/>
    <n v="3"/>
    <n v="4"/>
    <n v="2"/>
    <n v="1"/>
    <n v="3"/>
    <n v="214"/>
  </r>
  <r>
    <n v="6"/>
    <n v="7"/>
    <n v="1"/>
    <n v="6"/>
    <x v="1"/>
    <n v="1"/>
    <s v="Citadel"/>
    <n v="0"/>
    <s v="20-16"/>
    <n v="2"/>
    <n v="1"/>
    <n v="8"/>
    <x v="1"/>
    <x v="22"/>
    <n v="3"/>
    <n v="3"/>
    <n v="0"/>
    <n v="0"/>
    <n v="0"/>
    <n v="50"/>
  </r>
  <r>
    <n v="3"/>
    <n v="15"/>
    <n v="8"/>
    <n v="7"/>
    <x v="1"/>
    <n v="1"/>
    <s v="Citadel"/>
    <n v="0"/>
    <s v="12-8"/>
    <n v="1"/>
    <n v="1"/>
    <n v="8"/>
    <x v="2"/>
    <x v="23"/>
    <n v="2"/>
    <n v="2"/>
    <n v="0"/>
    <n v="0"/>
    <n v="1"/>
    <n v="32"/>
  </r>
  <r>
    <n v="3"/>
    <n v="15"/>
    <n v="8"/>
    <n v="7"/>
    <x v="1"/>
    <n v="1"/>
    <s v="Citadel"/>
    <n v="0"/>
    <s v="12-8"/>
    <n v="1"/>
    <n v="1"/>
    <n v="8"/>
    <x v="15"/>
    <x v="24"/>
    <n v="9"/>
    <n v="11"/>
    <n v="0"/>
    <n v="2"/>
    <n v="2"/>
    <n v="124"/>
  </r>
  <r>
    <n v="3"/>
    <n v="15"/>
    <n v="8"/>
    <n v="7"/>
    <x v="1"/>
    <n v="1"/>
    <s v="Citadel"/>
    <n v="0"/>
    <s v="12-8"/>
    <n v="1"/>
    <n v="1"/>
    <n v="8"/>
    <x v="16"/>
    <x v="25"/>
    <n v="-4"/>
    <n v="2"/>
    <n v="0"/>
    <n v="6"/>
    <n v="0"/>
    <n v="166"/>
  </r>
  <r>
    <n v="3"/>
    <n v="4"/>
    <n v="8"/>
    <n v="-4"/>
    <x v="0"/>
    <n v="1"/>
    <s v="HCU"/>
    <n v="0"/>
    <s v="12-8"/>
    <n v="1"/>
    <n v="1"/>
    <n v="9"/>
    <x v="17"/>
    <x v="26"/>
    <n v="-1"/>
    <n v="0"/>
    <n v="1"/>
    <n v="1"/>
    <n v="0"/>
    <n v="33"/>
  </r>
  <r>
    <n v="3"/>
    <n v="4"/>
    <n v="8"/>
    <n v="-4"/>
    <x v="0"/>
    <n v="1"/>
    <s v="HCU"/>
    <n v="0"/>
    <s v="12-8"/>
    <n v="1"/>
    <n v="1"/>
    <n v="9"/>
    <x v="1"/>
    <x v="27"/>
    <n v="1"/>
    <n v="1"/>
    <n v="0"/>
    <n v="0"/>
    <n v="0"/>
    <n v="60"/>
  </r>
  <r>
    <n v="3"/>
    <n v="4"/>
    <n v="8"/>
    <n v="-4"/>
    <x v="0"/>
    <n v="1"/>
    <s v="HCU"/>
    <n v="0"/>
    <s v="12-8"/>
    <n v="1"/>
    <n v="1"/>
    <n v="9"/>
    <x v="9"/>
    <x v="1"/>
    <n v="-1"/>
    <n v="1"/>
    <n v="1"/>
    <n v="2"/>
    <n v="0"/>
    <n v="40"/>
  </r>
  <r>
    <n v="3"/>
    <n v="4"/>
    <n v="8"/>
    <n v="-4"/>
    <x v="0"/>
    <n v="1"/>
    <s v="HCU"/>
    <n v="0"/>
    <s v="12-8"/>
    <n v="1"/>
    <n v="1"/>
    <n v="9"/>
    <x v="10"/>
    <x v="28"/>
    <n v="-2"/>
    <n v="0"/>
    <n v="0"/>
    <n v="2"/>
    <n v="0"/>
    <n v="11"/>
  </r>
  <r>
    <n v="3"/>
    <n v="4"/>
    <n v="8"/>
    <n v="-4"/>
    <x v="0"/>
    <n v="1"/>
    <s v="HCU"/>
    <n v="0"/>
    <s v="12-8"/>
    <n v="1"/>
    <n v="1"/>
    <n v="9"/>
    <x v="14"/>
    <x v="23"/>
    <n v="-2"/>
    <n v="1"/>
    <n v="0"/>
    <n v="3"/>
    <n v="0"/>
    <n v="32"/>
  </r>
  <r>
    <n v="3"/>
    <n v="4"/>
    <n v="8"/>
    <n v="-4"/>
    <x v="0"/>
    <n v="1"/>
    <s v="HCU"/>
    <n v="0"/>
    <s v="12-8"/>
    <n v="1"/>
    <n v="1"/>
    <n v="9"/>
    <x v="18"/>
    <x v="2"/>
    <n v="1"/>
    <n v="5"/>
    <n v="0"/>
    <n v="4"/>
    <n v="1"/>
    <n v="103"/>
  </r>
  <r>
    <n v="7"/>
    <n v="7"/>
    <n v="10"/>
    <n v="-3"/>
    <x v="0"/>
    <n v="1"/>
    <s v="HCU"/>
    <n v="0"/>
    <s v="16-12"/>
    <n v="2"/>
    <n v="1"/>
    <n v="9"/>
    <x v="1"/>
    <x v="29"/>
    <n v="-1"/>
    <n v="2"/>
    <n v="0"/>
    <n v="3"/>
    <n v="0"/>
    <n v="13"/>
  </r>
  <r>
    <n v="7"/>
    <n v="7"/>
    <n v="10"/>
    <n v="-3"/>
    <x v="0"/>
    <n v="1"/>
    <s v="HCU"/>
    <n v="0"/>
    <s v="16-12"/>
    <n v="2"/>
    <n v="1"/>
    <n v="9"/>
    <x v="2"/>
    <x v="30"/>
    <n v="-1"/>
    <n v="4"/>
    <n v="1"/>
    <n v="5"/>
    <n v="0"/>
    <n v="140"/>
  </r>
  <r>
    <n v="7"/>
    <n v="7"/>
    <n v="10"/>
    <n v="-3"/>
    <x v="0"/>
    <n v="1"/>
    <s v="HCU"/>
    <n v="0"/>
    <s v="16-12"/>
    <n v="2"/>
    <n v="1"/>
    <n v="9"/>
    <x v="19"/>
    <x v="31"/>
    <n v="3"/>
    <n v="5"/>
    <n v="0"/>
    <n v="2"/>
    <n v="0"/>
    <n v="155"/>
  </r>
  <r>
    <n v="2"/>
    <n v="8"/>
    <n v="3"/>
    <n v="5"/>
    <x v="1"/>
    <n v="1"/>
    <s v="HCU"/>
    <n v="0"/>
    <s v="16-12"/>
    <n v="1"/>
    <n v="1"/>
    <n v="9"/>
    <x v="20"/>
    <x v="32"/>
    <n v="3"/>
    <n v="3"/>
    <n v="1"/>
    <n v="0"/>
    <n v="1"/>
    <n v="62"/>
  </r>
  <r>
    <n v="2"/>
    <n v="8"/>
    <n v="3"/>
    <n v="5"/>
    <x v="1"/>
    <n v="1"/>
    <s v="HCU"/>
    <n v="0"/>
    <s v="16-12"/>
    <n v="1"/>
    <n v="1"/>
    <n v="9"/>
    <x v="21"/>
    <x v="33"/>
    <n v="3"/>
    <n v="3"/>
    <n v="0"/>
    <n v="0"/>
    <n v="0"/>
    <n v="30"/>
  </r>
  <r>
    <n v="2"/>
    <n v="8"/>
    <n v="3"/>
    <n v="5"/>
    <x v="1"/>
    <n v="1"/>
    <s v="HCU"/>
    <n v="0"/>
    <s v="16-12"/>
    <n v="1"/>
    <n v="1"/>
    <n v="9"/>
    <x v="22"/>
    <x v="34"/>
    <n v="-1"/>
    <n v="2"/>
    <n v="0"/>
    <n v="3"/>
    <n v="0"/>
    <n v="64"/>
  </r>
  <r>
    <n v="9"/>
    <n v="13"/>
    <n v="3"/>
    <n v="10"/>
    <x v="1"/>
    <n v="1"/>
    <s v="HCU"/>
    <n v="0"/>
    <s v="8-4"/>
    <n v="2"/>
    <n v="1"/>
    <n v="9"/>
    <x v="15"/>
    <x v="35"/>
    <n v="5"/>
    <n v="14"/>
    <n v="3"/>
    <n v="9"/>
    <n v="2"/>
    <n v="379"/>
  </r>
  <r>
    <n v="4"/>
    <n v="4"/>
    <n v="13"/>
    <n v="-9"/>
    <x v="0"/>
    <n v="0"/>
    <s v="NKU"/>
    <n v="0"/>
    <s v="8-4"/>
    <n v="1"/>
    <n v="1"/>
    <n v="12"/>
    <x v="23"/>
    <x v="36"/>
    <n v="-4"/>
    <n v="0"/>
    <n v="1"/>
    <n v="4"/>
    <n v="0"/>
    <n v="67"/>
  </r>
  <r>
    <n v="4"/>
    <n v="4"/>
    <n v="13"/>
    <n v="-9"/>
    <x v="0"/>
    <n v="0"/>
    <s v="NKU"/>
    <n v="0"/>
    <s v="8-4"/>
    <n v="1"/>
    <n v="1"/>
    <n v="12"/>
    <x v="24"/>
    <x v="37"/>
    <n v="-4"/>
    <n v="2"/>
    <n v="3"/>
    <n v="6"/>
    <n v="0"/>
    <n v="120"/>
  </r>
  <r>
    <n v="6"/>
    <n v="7"/>
    <n v="14"/>
    <n v="-7"/>
    <x v="0"/>
    <n v="0"/>
    <s v="NKU"/>
    <n v="0"/>
    <s v="20-16"/>
    <n v="2"/>
    <n v="1"/>
    <n v="12"/>
    <x v="25"/>
    <x v="38"/>
    <n v="-8"/>
    <n v="4"/>
    <n v="3"/>
    <n v="12"/>
    <n v="1"/>
    <n v="233"/>
  </r>
  <r>
    <n v="6"/>
    <n v="7"/>
    <n v="14"/>
    <n v="-7"/>
    <x v="0"/>
    <n v="0"/>
    <s v="NKU"/>
    <n v="0"/>
    <s v="20-16"/>
    <n v="2"/>
    <n v="1"/>
    <n v="12"/>
    <x v="26"/>
    <x v="39"/>
    <n v="1"/>
    <n v="3"/>
    <n v="0"/>
    <n v="2"/>
    <n v="0"/>
    <n v="55"/>
  </r>
  <r>
    <n v="5"/>
    <n v="8"/>
    <n v="4"/>
    <n v="4"/>
    <x v="1"/>
    <n v="0"/>
    <s v="NKU"/>
    <n v="0"/>
    <s v="4-0"/>
    <n v="1"/>
    <n v="1"/>
    <n v="12"/>
    <x v="2"/>
    <x v="40"/>
    <n v="-2"/>
    <n v="7"/>
    <n v="1"/>
    <n v="9"/>
    <n v="1"/>
    <n v="246"/>
  </r>
  <r>
    <n v="5"/>
    <n v="8"/>
    <n v="4"/>
    <n v="4"/>
    <x v="1"/>
    <n v="0"/>
    <s v="NKU"/>
    <n v="0"/>
    <s v="4-0"/>
    <n v="1"/>
    <n v="1"/>
    <n v="12"/>
    <x v="27"/>
    <x v="39"/>
    <n v="1"/>
    <n v="3"/>
    <n v="0"/>
    <n v="2"/>
    <n v="0"/>
    <n v="55"/>
  </r>
  <r>
    <n v="9"/>
    <n v="12"/>
    <n v="7"/>
    <n v="5"/>
    <x v="1"/>
    <n v="0"/>
    <s v="NKU"/>
    <n v="0"/>
    <s v="8-4"/>
    <n v="2"/>
    <n v="1"/>
    <n v="12"/>
    <x v="28"/>
    <x v="41"/>
    <n v="2"/>
    <n v="2"/>
    <n v="0"/>
    <n v="0"/>
    <n v="1"/>
    <n v="25"/>
  </r>
  <r>
    <n v="9"/>
    <n v="12"/>
    <n v="7"/>
    <n v="5"/>
    <x v="1"/>
    <n v="0"/>
    <s v="NKU"/>
    <n v="0"/>
    <s v="8-4"/>
    <n v="2"/>
    <n v="1"/>
    <n v="12"/>
    <x v="29"/>
    <x v="42"/>
    <n v="4"/>
    <n v="11"/>
    <n v="2"/>
    <n v="7"/>
    <n v="2"/>
    <n v="334"/>
  </r>
  <r>
    <n v="2"/>
    <n v="5"/>
    <n v="15"/>
    <n v="-10"/>
    <x v="0"/>
    <n v="1"/>
    <s v="Chattanooga"/>
    <n v="0"/>
    <s v="16-12"/>
    <n v="1"/>
    <n v="1"/>
    <n v="13"/>
    <x v="30"/>
    <x v="43"/>
    <n v="-1"/>
    <n v="5"/>
    <n v="0"/>
    <n v="6"/>
    <n v="1"/>
    <n v="104"/>
  </r>
  <r>
    <n v="2"/>
    <n v="5"/>
    <n v="15"/>
    <n v="-10"/>
    <x v="0"/>
    <n v="1"/>
    <s v="Chattanooga"/>
    <n v="0"/>
    <s v="16-12"/>
    <n v="1"/>
    <n v="1"/>
    <n v="13"/>
    <x v="31"/>
    <x v="44"/>
    <n v="-9"/>
    <n v="0"/>
    <n v="0"/>
    <n v="9"/>
    <n v="0"/>
    <n v="127"/>
  </r>
  <r>
    <n v="4"/>
    <n v="5"/>
    <n v="7"/>
    <n v="-2"/>
    <x v="0"/>
    <n v="1"/>
    <s v="Chattanooga"/>
    <n v="0"/>
    <s v="8-4"/>
    <n v="1"/>
    <n v="1"/>
    <n v="13"/>
    <x v="32"/>
    <x v="45"/>
    <n v="-1"/>
    <n v="3"/>
    <n v="1"/>
    <n v="4"/>
    <n v="0"/>
    <n v="200"/>
  </r>
  <r>
    <n v="4"/>
    <n v="5"/>
    <n v="7"/>
    <n v="-2"/>
    <x v="0"/>
    <n v="1"/>
    <s v="Chattanooga"/>
    <n v="0"/>
    <s v="8-4"/>
    <n v="1"/>
    <n v="1"/>
    <n v="13"/>
    <x v="33"/>
    <x v="46"/>
    <n v="1"/>
    <n v="4"/>
    <n v="1"/>
    <n v="3"/>
    <n v="1"/>
    <n v="109"/>
  </r>
  <r>
    <n v="8"/>
    <n v="7"/>
    <n v="2"/>
    <n v="5"/>
    <x v="1"/>
    <n v="1"/>
    <s v="Chattanooga"/>
    <n v="0"/>
    <s v="12-8"/>
    <n v="2"/>
    <n v="1"/>
    <n v="13"/>
    <x v="34"/>
    <x v="47"/>
    <n v="4"/>
    <n v="4"/>
    <n v="0"/>
    <n v="0"/>
    <n v="1"/>
    <n v="84"/>
  </r>
  <r>
    <n v="8"/>
    <n v="7"/>
    <n v="2"/>
    <n v="5"/>
    <x v="1"/>
    <n v="1"/>
    <s v="Chattanooga"/>
    <n v="0"/>
    <s v="12-8"/>
    <n v="2"/>
    <n v="1"/>
    <n v="13"/>
    <x v="25"/>
    <x v="48"/>
    <n v="1"/>
    <n v="3"/>
    <n v="1"/>
    <n v="2"/>
    <n v="0"/>
    <n v="99"/>
  </r>
  <r>
    <n v="9"/>
    <n v="11"/>
    <n v="0"/>
    <n v="11"/>
    <x v="1"/>
    <n v="1"/>
    <s v="Chattanooga"/>
    <n v="0"/>
    <s v="8-4"/>
    <n v="2"/>
    <n v="1"/>
    <n v="13"/>
    <x v="35"/>
    <x v="47"/>
    <n v="5"/>
    <n v="5"/>
    <n v="0"/>
    <n v="0"/>
    <n v="1"/>
    <n v="84"/>
  </r>
  <r>
    <n v="9"/>
    <n v="11"/>
    <n v="0"/>
    <n v="11"/>
    <x v="1"/>
    <n v="1"/>
    <s v="Chattanooga"/>
    <n v="0"/>
    <s v="8-4"/>
    <n v="2"/>
    <n v="1"/>
    <n v="13"/>
    <x v="36"/>
    <x v="7"/>
    <n v="1"/>
    <n v="1"/>
    <n v="0"/>
    <n v="0"/>
    <n v="0"/>
    <n v="0"/>
  </r>
  <r>
    <n v="9"/>
    <n v="11"/>
    <n v="0"/>
    <n v="11"/>
    <x v="1"/>
    <n v="1"/>
    <s v="Chattanooga"/>
    <n v="0"/>
    <s v="8-4"/>
    <n v="2"/>
    <n v="1"/>
    <n v="13"/>
    <x v="29"/>
    <x v="49"/>
    <n v="2"/>
    <n v="2"/>
    <n v="0"/>
    <n v="0"/>
    <n v="0"/>
    <n v="83"/>
  </r>
  <r>
    <n v="9"/>
    <n v="11"/>
    <n v="0"/>
    <n v="11"/>
    <x v="1"/>
    <n v="1"/>
    <s v="Chattanooga"/>
    <n v="0"/>
    <s v="8-4"/>
    <n v="2"/>
    <n v="1"/>
    <n v="13"/>
    <x v="36"/>
    <x v="26"/>
    <n v="3"/>
    <n v="3"/>
    <n v="0"/>
    <n v="0"/>
    <n v="0"/>
    <n v="33"/>
  </r>
  <r>
    <n v="1"/>
    <n v="3"/>
    <n v="13"/>
    <n v="-10"/>
    <x v="0"/>
    <n v="0"/>
    <s v="West Georgia"/>
    <n v="1"/>
    <s v="20-16"/>
    <n v="1"/>
    <n v="1"/>
    <n v="15"/>
    <x v="19"/>
    <x v="50"/>
    <n v="-3"/>
    <n v="2"/>
    <n v="1"/>
    <n v="5"/>
    <n v="0"/>
    <n v="130"/>
  </r>
  <r>
    <n v="1"/>
    <n v="3"/>
    <n v="13"/>
    <n v="-10"/>
    <x v="0"/>
    <n v="0"/>
    <s v="West Georgia"/>
    <n v="1"/>
    <s v="20-16"/>
    <n v="1"/>
    <n v="1"/>
    <n v="15"/>
    <x v="37"/>
    <x v="51"/>
    <n v="-6"/>
    <n v="1"/>
    <n v="1"/>
    <n v="7"/>
    <n v="0"/>
    <n v="119"/>
  </r>
  <r>
    <n v="2"/>
    <n v="5"/>
    <n v="9"/>
    <n v="-4"/>
    <x v="0"/>
    <n v="0"/>
    <s v="West Georgia"/>
    <n v="1"/>
    <s v="16-12"/>
    <n v="1"/>
    <n v="1"/>
    <n v="15"/>
    <x v="38"/>
    <x v="46"/>
    <n v="-5"/>
    <n v="0"/>
    <n v="1"/>
    <n v="5"/>
    <n v="1"/>
    <n v="109"/>
  </r>
  <r>
    <n v="2"/>
    <n v="5"/>
    <n v="9"/>
    <n v="-4"/>
    <x v="0"/>
    <n v="0"/>
    <s v="West Georgia"/>
    <n v="1"/>
    <s v="16-12"/>
    <n v="1"/>
    <n v="1"/>
    <n v="15"/>
    <x v="39"/>
    <x v="52"/>
    <n v="4"/>
    <n v="4"/>
    <n v="0"/>
    <n v="0"/>
    <n v="0"/>
    <n v="91"/>
  </r>
  <r>
    <n v="2"/>
    <n v="5"/>
    <n v="9"/>
    <n v="-4"/>
    <x v="0"/>
    <n v="0"/>
    <s v="West Georgia"/>
    <n v="1"/>
    <s v="16-12"/>
    <n v="1"/>
    <n v="1"/>
    <n v="15"/>
    <x v="40"/>
    <x v="53"/>
    <n v="-2"/>
    <n v="1"/>
    <n v="1"/>
    <n v="3"/>
    <n v="0"/>
    <n v="44"/>
  </r>
  <r>
    <n v="6"/>
    <n v="15"/>
    <n v="12"/>
    <n v="3"/>
    <x v="1"/>
    <n v="0"/>
    <s v="West Georgia"/>
    <n v="1"/>
    <s v="20-16"/>
    <n v="2"/>
    <n v="1"/>
    <n v="15"/>
    <x v="19"/>
    <x v="54"/>
    <n v="1"/>
    <n v="6"/>
    <n v="0"/>
    <n v="5"/>
    <n v="0"/>
    <n v="143"/>
  </r>
  <r>
    <n v="6"/>
    <n v="15"/>
    <n v="12"/>
    <n v="3"/>
    <x v="1"/>
    <n v="0"/>
    <s v="West Georgia"/>
    <n v="1"/>
    <s v="20-16"/>
    <n v="2"/>
    <n v="1"/>
    <n v="15"/>
    <x v="11"/>
    <x v="55"/>
    <n v="4"/>
    <n v="9"/>
    <n v="0"/>
    <n v="5"/>
    <n v="1"/>
    <n v="226"/>
  </r>
  <r>
    <n v="8"/>
    <n v="11"/>
    <n v="5"/>
    <n v="6"/>
    <x v="1"/>
    <n v="0"/>
    <s v="West Georgia"/>
    <n v="1"/>
    <s v="12-8"/>
    <n v="2"/>
    <n v="1"/>
    <n v="15"/>
    <x v="41"/>
    <x v="56"/>
    <n v="2"/>
    <n v="2"/>
    <n v="0"/>
    <n v="0"/>
    <n v="0"/>
    <n v="20"/>
  </r>
  <r>
    <n v="8"/>
    <n v="11"/>
    <n v="5"/>
    <n v="6"/>
    <x v="1"/>
    <n v="0"/>
    <s v="West Georgia"/>
    <n v="1"/>
    <s v="12-8"/>
    <n v="2"/>
    <n v="1"/>
    <n v="15"/>
    <x v="2"/>
    <x v="50"/>
    <n v="4"/>
    <n v="6"/>
    <n v="0"/>
    <n v="2"/>
    <n v="0"/>
    <n v="130"/>
  </r>
  <r>
    <n v="3"/>
    <n v="5"/>
    <n v="14"/>
    <n v="-9"/>
    <x v="0"/>
    <n v="0"/>
    <s v="Queens"/>
    <n v="1"/>
    <s v="12-8"/>
    <n v="1"/>
    <n v="1"/>
    <n v="16"/>
    <x v="19"/>
    <x v="57"/>
    <n v="-3"/>
    <n v="0"/>
    <n v="1"/>
    <n v="3"/>
    <n v="0"/>
    <n v="52"/>
  </r>
  <r>
    <n v="3"/>
    <n v="5"/>
    <n v="14"/>
    <n v="-9"/>
    <x v="0"/>
    <n v="0"/>
    <s v="Queens"/>
    <n v="1"/>
    <s v="12-8"/>
    <n v="1"/>
    <n v="1"/>
    <n v="16"/>
    <x v="42"/>
    <x v="22"/>
    <n v="-3"/>
    <n v="0"/>
    <n v="0"/>
    <n v="3"/>
    <n v="0"/>
    <n v="50"/>
  </r>
  <r>
    <n v="3"/>
    <n v="5"/>
    <n v="14"/>
    <n v="-9"/>
    <x v="0"/>
    <n v="0"/>
    <s v="Queens"/>
    <n v="1"/>
    <s v="12-8"/>
    <n v="1"/>
    <n v="1"/>
    <n v="16"/>
    <x v="43"/>
    <x v="58"/>
    <n v="-3"/>
    <n v="0"/>
    <n v="2"/>
    <n v="3"/>
    <n v="1"/>
    <n v="48"/>
  </r>
  <r>
    <n v="8"/>
    <n v="5"/>
    <n v="10"/>
    <n v="-5"/>
    <x v="0"/>
    <n v="0"/>
    <s v="Queens"/>
    <n v="1"/>
    <s v="12-8"/>
    <n v="2"/>
    <n v="1"/>
    <n v="16"/>
    <x v="44"/>
    <x v="59"/>
    <n v="0"/>
    <n v="2"/>
    <n v="2"/>
    <n v="2"/>
    <n v="1"/>
    <n v="92"/>
  </r>
  <r>
    <n v="8"/>
    <n v="5"/>
    <n v="10"/>
    <n v="-5"/>
    <x v="0"/>
    <n v="0"/>
    <s v="Queens"/>
    <n v="1"/>
    <s v="12-8"/>
    <n v="2"/>
    <n v="1"/>
    <n v="16"/>
    <x v="2"/>
    <x v="14"/>
    <n v="-2"/>
    <n v="2"/>
    <n v="0"/>
    <n v="4"/>
    <n v="0"/>
    <n v="51"/>
  </r>
  <r>
    <n v="8"/>
    <n v="5"/>
    <n v="10"/>
    <n v="-5"/>
    <x v="0"/>
    <n v="0"/>
    <s v="Queens"/>
    <n v="1"/>
    <s v="12-8"/>
    <n v="2"/>
    <n v="1"/>
    <n v="16"/>
    <x v="11"/>
    <x v="60"/>
    <n v="-3"/>
    <n v="1"/>
    <n v="0"/>
    <n v="4"/>
    <n v="0"/>
    <n v="100"/>
  </r>
  <r>
    <n v="7"/>
    <n v="8"/>
    <n v="7"/>
    <n v="1"/>
    <x v="1"/>
    <n v="0"/>
    <s v="Queens"/>
    <n v="1"/>
    <s v="16-12"/>
    <n v="2"/>
    <n v="1"/>
    <n v="16"/>
    <x v="1"/>
    <x v="61"/>
    <n v="2"/>
    <n v="4"/>
    <n v="0"/>
    <n v="2"/>
    <n v="0"/>
    <n v="42"/>
  </r>
  <r>
    <n v="7"/>
    <n v="8"/>
    <n v="7"/>
    <n v="1"/>
    <x v="1"/>
    <n v="0"/>
    <s v="Queens"/>
    <n v="1"/>
    <s v="16-12"/>
    <n v="2"/>
    <n v="1"/>
    <n v="16"/>
    <x v="45"/>
    <x v="62"/>
    <n v="1"/>
    <n v="1"/>
    <n v="0"/>
    <n v="0"/>
    <n v="0"/>
    <n v="26"/>
  </r>
  <r>
    <n v="7"/>
    <n v="8"/>
    <n v="7"/>
    <n v="1"/>
    <x v="1"/>
    <n v="0"/>
    <s v="Queens"/>
    <n v="1"/>
    <s v="16-12"/>
    <n v="2"/>
    <n v="1"/>
    <n v="16"/>
    <x v="46"/>
    <x v="63"/>
    <n v="1"/>
    <n v="3"/>
    <n v="0"/>
    <n v="2"/>
    <n v="1"/>
    <n v="49"/>
  </r>
  <r>
    <n v="7"/>
    <n v="8"/>
    <n v="7"/>
    <n v="1"/>
    <x v="1"/>
    <n v="0"/>
    <s v="Queens"/>
    <n v="1"/>
    <s v="16-12"/>
    <n v="2"/>
    <n v="1"/>
    <n v="16"/>
    <x v="8"/>
    <x v="19"/>
    <n v="-3"/>
    <n v="0"/>
    <n v="1"/>
    <n v="3"/>
    <n v="0"/>
    <n v="66"/>
  </r>
  <r>
    <n v="5"/>
    <n v="15"/>
    <n v="10"/>
    <n v="5"/>
    <x v="1"/>
    <n v="0"/>
    <s v="Queens"/>
    <n v="1"/>
    <s v="4-0"/>
    <n v="1"/>
    <n v="1"/>
    <n v="16"/>
    <x v="47"/>
    <x v="64"/>
    <n v="1"/>
    <n v="1"/>
    <n v="0"/>
    <n v="0"/>
    <n v="0"/>
    <n v="15"/>
  </r>
  <r>
    <n v="5"/>
    <n v="15"/>
    <n v="10"/>
    <n v="5"/>
    <x v="1"/>
    <n v="0"/>
    <s v="Queens"/>
    <n v="1"/>
    <s v="4-0"/>
    <n v="1"/>
    <n v="1"/>
    <n v="16"/>
    <x v="48"/>
    <x v="65"/>
    <n v="5"/>
    <n v="5"/>
    <n v="0"/>
    <n v="0"/>
    <n v="0"/>
    <n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6F50-154B-A147-B546-F869F4B3C0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1:AF4" firstHeaderRow="0" firstDataRow="1" firstDataCol="1"/>
  <pivotFields count="22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0" showAll="0">
      <items count="67">
        <item x="7"/>
        <item x="10"/>
        <item x="28"/>
        <item x="29"/>
        <item x="64"/>
        <item x="4"/>
        <item x="56"/>
        <item x="15"/>
        <item x="41"/>
        <item x="62"/>
        <item x="12"/>
        <item x="33"/>
        <item x="23"/>
        <item x="26"/>
        <item x="9"/>
        <item x="1"/>
        <item x="61"/>
        <item x="53"/>
        <item x="58"/>
        <item x="63"/>
        <item x="22"/>
        <item x="14"/>
        <item x="57"/>
        <item x="39"/>
        <item x="20"/>
        <item x="65"/>
        <item x="27"/>
        <item x="32"/>
        <item x="34"/>
        <item x="19"/>
        <item x="36"/>
        <item x="6"/>
        <item x="13"/>
        <item x="3"/>
        <item x="0"/>
        <item x="8"/>
        <item x="49"/>
        <item x="47"/>
        <item x="52"/>
        <item x="59"/>
        <item x="5"/>
        <item x="48"/>
        <item x="60"/>
        <item x="11"/>
        <item x="2"/>
        <item x="43"/>
        <item x="46"/>
        <item x="51"/>
        <item x="37"/>
        <item x="24"/>
        <item x="44"/>
        <item x="50"/>
        <item x="30"/>
        <item x="54"/>
        <item x="31"/>
        <item x="17"/>
        <item x="25"/>
        <item x="16"/>
        <item x="45"/>
        <item x="18"/>
        <item x="21"/>
        <item x="55"/>
        <item x="38"/>
        <item x="40"/>
        <item x="42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ineup" fld="12" subtotal="count" baseField="0" baseItem="0"/>
    <dataField name="Average of Seconds" fld="19" subtotal="average" baseField="0" baseItem="0"/>
  </dataFields>
  <formats count="2">
    <format dxfId="7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6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DDF41-715E-BB4F-9F61-77278B66C5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:AA51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20"/>
        <item x="21"/>
        <item x="22"/>
        <item x="18"/>
        <item x="23"/>
        <item x="42"/>
        <item x="43"/>
        <item x="36"/>
        <item x="9"/>
        <item x="28"/>
        <item x="10"/>
        <item x="14"/>
        <item x="37"/>
        <item x="19"/>
        <item x="26"/>
        <item x="40"/>
        <item x="0"/>
        <item x="35"/>
        <item x="33"/>
        <item x="3"/>
        <item x="47"/>
        <item x="24"/>
        <item x="16"/>
        <item x="15"/>
        <item x="17"/>
        <item x="4"/>
        <item x="5"/>
        <item x="29"/>
        <item x="25"/>
        <item x="34"/>
        <item x="46"/>
        <item x="45"/>
        <item x="1"/>
        <item x="30"/>
        <item x="27"/>
        <item x="2"/>
        <item x="32"/>
        <item x="39"/>
        <item x="6"/>
        <item x="38"/>
        <item x="31"/>
        <item x="12"/>
        <item x="13"/>
        <item x="41"/>
        <item x="8"/>
        <item x="48"/>
        <item x="11"/>
        <item x="7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0" showAll="0">
      <items count="67">
        <item x="7"/>
        <item x="10"/>
        <item x="28"/>
        <item x="29"/>
        <item x="64"/>
        <item x="4"/>
        <item x="56"/>
        <item x="15"/>
        <item x="41"/>
        <item x="62"/>
        <item x="12"/>
        <item x="33"/>
        <item x="23"/>
        <item x="26"/>
        <item x="9"/>
        <item x="1"/>
        <item x="61"/>
        <item x="53"/>
        <item x="58"/>
        <item x="63"/>
        <item x="22"/>
        <item x="14"/>
        <item x="57"/>
        <item x="39"/>
        <item x="20"/>
        <item x="65"/>
        <item x="27"/>
        <item x="32"/>
        <item x="34"/>
        <item x="19"/>
        <item x="36"/>
        <item x="6"/>
        <item x="13"/>
        <item x="3"/>
        <item x="0"/>
        <item x="8"/>
        <item x="49"/>
        <item x="47"/>
        <item x="52"/>
        <item x="59"/>
        <item x="5"/>
        <item x="48"/>
        <item x="60"/>
        <item x="11"/>
        <item x="2"/>
        <item x="43"/>
        <item x="46"/>
        <item x="51"/>
        <item x="37"/>
        <item x="24"/>
        <item x="44"/>
        <item x="50"/>
        <item x="30"/>
        <item x="54"/>
        <item x="31"/>
        <item x="17"/>
        <item x="25"/>
        <item x="16"/>
        <item x="45"/>
        <item x="18"/>
        <item x="21"/>
        <item x="55"/>
        <item x="38"/>
        <item x="40"/>
        <item x="42"/>
        <item x="3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50">
    <i>
      <x v="23"/>
    </i>
    <i>
      <x v="46"/>
    </i>
    <i>
      <x v="27"/>
    </i>
    <i>
      <x v="45"/>
    </i>
    <i>
      <x v="17"/>
    </i>
    <i>
      <x v="37"/>
    </i>
    <i>
      <x v="7"/>
    </i>
    <i>
      <x v="29"/>
    </i>
    <i>
      <x v="1"/>
    </i>
    <i>
      <x/>
    </i>
    <i>
      <x v="9"/>
    </i>
    <i>
      <x v="42"/>
    </i>
    <i>
      <x v="47"/>
    </i>
    <i>
      <x v="43"/>
    </i>
    <i>
      <x v="14"/>
    </i>
    <i>
      <x v="18"/>
    </i>
    <i>
      <x v="38"/>
    </i>
    <i>
      <x v="20"/>
    </i>
    <i>
      <x v="34"/>
    </i>
    <i>
      <x v="30"/>
    </i>
    <i>
      <x v="3"/>
    </i>
    <i>
      <x v="31"/>
    </i>
    <i>
      <x v="32"/>
    </i>
    <i>
      <x v="41"/>
    </i>
    <i>
      <x v="48"/>
    </i>
    <i>
      <x v="25"/>
    </i>
    <i>
      <x v="36"/>
    </i>
    <i>
      <x v="19"/>
    </i>
    <i>
      <x v="8"/>
    </i>
    <i>
      <x v="33"/>
    </i>
    <i>
      <x v="16"/>
    </i>
    <i>
      <x v="2"/>
    </i>
    <i>
      <x v="24"/>
    </i>
    <i>
      <x v="11"/>
    </i>
    <i>
      <x v="10"/>
    </i>
    <i>
      <x v="15"/>
    </i>
    <i>
      <x v="35"/>
    </i>
    <i>
      <x v="13"/>
    </i>
    <i>
      <x v="6"/>
    </i>
    <i>
      <x v="5"/>
    </i>
    <i>
      <x v="22"/>
    </i>
    <i>
      <x v="4"/>
    </i>
    <i>
      <x v="21"/>
    </i>
    <i>
      <x v="44"/>
    </i>
    <i>
      <x v="39"/>
    </i>
    <i>
      <x v="12"/>
    </i>
    <i>
      <x v="28"/>
    </i>
    <i>
      <x v="26"/>
    </i>
    <i>
      <x v="4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ineupNet" fld="14" baseField="0" baseItem="0"/>
    <dataField name="PTS Scored" fld="15" baseField="0" baseItem="0"/>
    <dataField name="PTS Allowed" fld="17" baseField="0" baseItem="0"/>
    <dataField name="Offensive TOVs" fld="16" baseField="0" baseItem="0"/>
    <dataField name="Opponent TOV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20D39-36AD-864E-B0F5-B1AC94A7702F}" name="WarsAnalysis" displayName="WarsAnalysis" ref="A1:L182" totalsRowShown="0">
  <autoFilter ref="A1:L182" xr:uid="{E5420D39-36AD-864E-B0F5-B1AC94A7702F}"/>
  <sortState xmlns:xlrd2="http://schemas.microsoft.com/office/spreadsheetml/2017/richdata2" ref="A2:K161">
    <sortCondition ref="K1:K161"/>
  </sortState>
  <tableColumns count="12">
    <tableColumn id="1" xr3:uid="{5C31A377-5D7E-7646-9673-6CFCAFB6C9DC}" name="WarNum"/>
    <tableColumn id="2" xr3:uid="{59583B98-5196-A141-9F75-194A211B3FD4}" name="BU_Score"/>
    <tableColumn id="3" xr3:uid="{3D4AD2AE-8D5B-E748-8542-C2D124DE7B2E}" name="Opp_Score"/>
    <tableColumn id="4" xr3:uid="{955168FD-82D4-4746-90C4-A1E7E2266446}" name="ScoreDiff"/>
    <tableColumn id="7" xr3:uid="{3EF17A98-0B0D-AC49-BD8C-7D668AE27FB4}" name="WarWon" dataDxfId="8">
      <calculatedColumnFormula>IF(WarsAnalysis[[#This Row],[ScoreDiff]]&gt;0,1,0)</calculatedColumnFormula>
    </tableColumn>
    <tableColumn id="5" xr3:uid="{32A831B3-7B02-674A-BCB8-EC43F7FC1BBA}" name="GameWon"/>
    <tableColumn id="6" xr3:uid="{68568872-D562-DE46-966E-A30D85A5C043}" name="Opponent"/>
    <tableColumn id="8" xr3:uid="{A9DCAB99-4EF5-D346-9CCC-C57D35CED754}" name="ConfGame"/>
    <tableColumn id="9" xr3:uid="{C7796497-F3C6-FA42-B396-9CA14F56958A}" name="WarLabel"/>
    <tableColumn id="10" xr3:uid="{9556BAD2-96F4-4B46-AD95-E72C73CD19ED}" name="Half"/>
    <tableColumn id="12" xr3:uid="{254DA023-9614-2745-8BE9-8733CA318A3B}" name="GameOrder"/>
    <tableColumn id="11" xr3:uid="{3DB6238F-6D41-9A44-986F-6EDB8430F0C7}" name="HomeG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C8893-C580-1847-A498-06E71F90CCEE}" name="WarByLineup" displayName="WarByLineup" ref="A1:T79" totalsRowShown="0">
  <autoFilter ref="A1:T79" xr:uid="{2AAC8893-C580-1847-A498-06E71F90CCEE}">
    <filterColumn colId="12">
      <filters>
        <filter val="DB GW KG MWJ JK"/>
        <filter val="DB GW KG MWJ SD"/>
        <filter val="DB GW MW MWJ SD"/>
        <filter val="DB GW MW SD JK"/>
        <filter val="DB GW MWJ BW DH"/>
        <filter val="DB GW SD BW DH"/>
        <filter val="DB GW SD DH JK"/>
        <filter val="GW KG MWJ BW JK"/>
        <filter val="GW KG MWJ SD JK"/>
        <filter val="GW KG SD BW JK"/>
        <filter val="GW MW KG BW JK"/>
        <filter val="GW MWJ SD TD JK"/>
        <filter val="GW SD TD BW JK"/>
      </filters>
    </filterColumn>
  </autoFilter>
  <tableColumns count="20">
    <tableColumn id="1" xr3:uid="{47900400-B92A-4041-A09E-2AFB7FD48245}" name="WarNum"/>
    <tableColumn id="2" xr3:uid="{69EFAB90-216B-4C4E-9C68-99A935111693}" name="BU_Score"/>
    <tableColumn id="3" xr3:uid="{84A5D732-AC9C-2642-A0F9-6D0E938F0465}" name="Opp_Score"/>
    <tableColumn id="4" xr3:uid="{18A3257D-62CF-DA49-845E-740559086C6D}" name="TotalScoreDiff"/>
    <tableColumn id="5" xr3:uid="{C04B6ED2-B556-2A45-BD35-EC9BC31238C9}" name="WarWon"/>
    <tableColumn id="6" xr3:uid="{113C9328-A62F-9740-B38B-283E2637175A}" name="GameWon"/>
    <tableColumn id="7" xr3:uid="{72993771-6578-AA45-A33B-3715A5A1D349}" name="Opponent"/>
    <tableColumn id="8" xr3:uid="{C9ECDE9F-95EF-0740-A607-3134769E4A04}" name="ConfGame"/>
    <tableColumn id="9" xr3:uid="{9CFD79EF-A09D-2F43-86C1-B8992FF06D08}" name="WarLabel"/>
    <tableColumn id="10" xr3:uid="{7159C21E-6806-3049-B94F-7E5B1FBBE052}" name="Half"/>
    <tableColumn id="11" xr3:uid="{55D94603-A6B5-3141-978B-263733B9AEF9}" name="AnalyzeNeeded"/>
    <tableColumn id="12" xr3:uid="{AC2BCBD6-91E7-014E-9FCB-2FBD6DF2E5CA}" name="GameOrder"/>
    <tableColumn id="17" xr3:uid="{0E8DAC9B-704E-8446-8A41-24241F922942}" name="Lineup"/>
    <tableColumn id="33" xr3:uid="{CAA23E04-E525-4F4A-BBFB-42D943F1A015}" name="Lineup Time"/>
    <tableColumn id="15" xr3:uid="{932115D8-E584-6446-8F21-D52BD8AD849B}" name="Net"/>
    <tableColumn id="29" xr3:uid="{76684E8B-4E68-B94A-9D97-F470C8F3A204}" name="Off PTS"/>
    <tableColumn id="30" xr3:uid="{A2F065BA-5BAF-3B40-B183-28224B8F61B8}" name="Off TOV"/>
    <tableColumn id="31" xr3:uid="{67A41BEB-8F81-A841-93E4-EB19D93A4D00}" name="Opp PTS"/>
    <tableColumn id="32" xr3:uid="{B0B1F7C7-09A7-0C49-90D5-D101BC11545D}" name="Opp TOVs"/>
    <tableColumn id="34" xr3:uid="{1CCA02EB-D73F-1746-B765-E89DCDE1EC92}" name="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0F05-03F4-A745-9F0E-4F1A51D27D02}">
  <dimension ref="A1:L182"/>
  <sheetViews>
    <sheetView tabSelected="1" topLeftCell="A148" workbookViewId="0">
      <selection activeCell="L181" sqref="L181"/>
    </sheetView>
  </sheetViews>
  <sheetFormatPr baseColWidth="10" defaultRowHeight="16" x14ac:dyDescent="0.2"/>
  <cols>
    <col min="1" max="1" width="11" bestFit="1" customWidth="1"/>
    <col min="2" max="2" width="11.5" bestFit="1" customWidth="1"/>
    <col min="3" max="3" width="12.5" bestFit="1" customWidth="1"/>
    <col min="4" max="4" width="11.5" bestFit="1" customWidth="1"/>
    <col min="5" max="5" width="10.6640625" bestFit="1" customWidth="1"/>
    <col min="6" max="6" width="12.33203125" bestFit="1" customWidth="1"/>
    <col min="7" max="7" width="12" bestFit="1" customWidth="1"/>
    <col min="8" max="8" width="12.6640625" bestFit="1" customWidth="1"/>
    <col min="9" max="9" width="11.5" bestFit="1" customWidth="1"/>
    <col min="10" max="10" width="7.1640625" customWidth="1"/>
    <col min="11" max="11" width="13.33203125" bestFit="1" customWidth="1"/>
    <col min="12" max="12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5</v>
      </c>
      <c r="G1" t="s">
        <v>4</v>
      </c>
      <c r="H1" t="s">
        <v>23</v>
      </c>
      <c r="I1" t="s">
        <v>24</v>
      </c>
      <c r="J1" t="s">
        <v>25</v>
      </c>
      <c r="K1" t="s">
        <v>32</v>
      </c>
      <c r="L1" t="s">
        <v>102</v>
      </c>
    </row>
    <row r="2" spans="1:12" x14ac:dyDescent="0.2">
      <c r="A2">
        <v>1</v>
      </c>
      <c r="B2">
        <v>10</v>
      </c>
      <c r="C2">
        <v>7</v>
      </c>
      <c r="D2">
        <f t="shared" ref="D2:D33" si="0">B2-C2</f>
        <v>3</v>
      </c>
      <c r="E2">
        <f>IF(WarsAnalysis[[#This Row],[ScoreDiff]]&gt;0,1,0)</f>
        <v>1</v>
      </c>
      <c r="F2">
        <v>0</v>
      </c>
      <c r="G2" t="s">
        <v>6</v>
      </c>
      <c r="H2">
        <v>0</v>
      </c>
      <c r="I2" s="1" t="s">
        <v>26</v>
      </c>
      <c r="J2">
        <v>1</v>
      </c>
      <c r="K2">
        <v>1</v>
      </c>
      <c r="L2">
        <v>1</v>
      </c>
    </row>
    <row r="3" spans="1:12" x14ac:dyDescent="0.2">
      <c r="A3">
        <v>2</v>
      </c>
      <c r="B3">
        <v>0</v>
      </c>
      <c r="C3">
        <v>12</v>
      </c>
      <c r="D3">
        <f t="shared" si="0"/>
        <v>-12</v>
      </c>
      <c r="E3">
        <f>IF(WarsAnalysis[[#This Row],[ScoreDiff]]&gt;0,1,0)</f>
        <v>0</v>
      </c>
      <c r="F3">
        <v>0</v>
      </c>
      <c r="G3" t="s">
        <v>6</v>
      </c>
      <c r="H3">
        <v>0</v>
      </c>
      <c r="I3" s="1" t="s">
        <v>27</v>
      </c>
      <c r="J3">
        <v>1</v>
      </c>
      <c r="K3">
        <v>1</v>
      </c>
      <c r="L3">
        <v>1</v>
      </c>
    </row>
    <row r="4" spans="1:12" x14ac:dyDescent="0.2">
      <c r="A4">
        <v>3</v>
      </c>
      <c r="B4">
        <v>8</v>
      </c>
      <c r="C4">
        <v>14</v>
      </c>
      <c r="D4">
        <f t="shared" si="0"/>
        <v>-6</v>
      </c>
      <c r="E4">
        <f>IF(WarsAnalysis[[#This Row],[ScoreDiff]]&gt;0,1,0)</f>
        <v>0</v>
      </c>
      <c r="F4">
        <v>0</v>
      </c>
      <c r="G4" t="s">
        <v>6</v>
      </c>
      <c r="H4">
        <v>0</v>
      </c>
      <c r="I4" s="1" t="s">
        <v>28</v>
      </c>
      <c r="J4">
        <v>1</v>
      </c>
      <c r="K4">
        <v>1</v>
      </c>
      <c r="L4">
        <v>1</v>
      </c>
    </row>
    <row r="5" spans="1:12" x14ac:dyDescent="0.2">
      <c r="A5">
        <v>4</v>
      </c>
      <c r="B5">
        <v>8</v>
      </c>
      <c r="C5">
        <v>4</v>
      </c>
      <c r="D5">
        <f t="shared" si="0"/>
        <v>4</v>
      </c>
      <c r="E5">
        <f>IF(WarsAnalysis[[#This Row],[ScoreDiff]]&gt;0,1,0)</f>
        <v>1</v>
      </c>
      <c r="F5">
        <v>0</v>
      </c>
      <c r="G5" t="s">
        <v>6</v>
      </c>
      <c r="H5">
        <v>0</v>
      </c>
      <c r="I5" s="1" t="s">
        <v>29</v>
      </c>
      <c r="J5">
        <v>1</v>
      </c>
      <c r="K5">
        <v>1</v>
      </c>
      <c r="L5">
        <v>1</v>
      </c>
    </row>
    <row r="6" spans="1:12" x14ac:dyDescent="0.2">
      <c r="A6">
        <v>5</v>
      </c>
      <c r="B6">
        <v>5</v>
      </c>
      <c r="C6">
        <v>9</v>
      </c>
      <c r="D6">
        <f t="shared" si="0"/>
        <v>-4</v>
      </c>
      <c r="E6">
        <f>IF(WarsAnalysis[[#This Row],[ScoreDiff]]&gt;0,1,0)</f>
        <v>0</v>
      </c>
      <c r="F6">
        <v>0</v>
      </c>
      <c r="G6" t="s">
        <v>6</v>
      </c>
      <c r="H6">
        <v>0</v>
      </c>
      <c r="I6" s="1" t="s">
        <v>30</v>
      </c>
      <c r="J6">
        <v>1</v>
      </c>
      <c r="K6">
        <v>1</v>
      </c>
      <c r="L6">
        <v>1</v>
      </c>
    </row>
    <row r="7" spans="1:12" x14ac:dyDescent="0.2">
      <c r="A7">
        <v>6</v>
      </c>
      <c r="B7">
        <v>10</v>
      </c>
      <c r="C7">
        <v>13</v>
      </c>
      <c r="D7">
        <f t="shared" si="0"/>
        <v>-3</v>
      </c>
      <c r="E7">
        <f>IF(WarsAnalysis[[#This Row],[ScoreDiff]]&gt;0,1,0)</f>
        <v>0</v>
      </c>
      <c r="F7">
        <v>0</v>
      </c>
      <c r="G7" t="s">
        <v>6</v>
      </c>
      <c r="H7">
        <v>0</v>
      </c>
      <c r="I7" s="1" t="s">
        <v>26</v>
      </c>
      <c r="J7">
        <v>2</v>
      </c>
      <c r="K7">
        <v>1</v>
      </c>
      <c r="L7">
        <v>1</v>
      </c>
    </row>
    <row r="8" spans="1:12" x14ac:dyDescent="0.2">
      <c r="A8">
        <v>7</v>
      </c>
      <c r="B8">
        <v>6</v>
      </c>
      <c r="C8">
        <v>7</v>
      </c>
      <c r="D8">
        <f t="shared" si="0"/>
        <v>-1</v>
      </c>
      <c r="E8">
        <f>IF(WarsAnalysis[[#This Row],[ScoreDiff]]&gt;0,1,0)</f>
        <v>0</v>
      </c>
      <c r="F8">
        <v>0</v>
      </c>
      <c r="G8" t="s">
        <v>6</v>
      </c>
      <c r="H8">
        <v>0</v>
      </c>
      <c r="I8" s="1" t="s">
        <v>27</v>
      </c>
      <c r="J8">
        <v>2</v>
      </c>
      <c r="K8">
        <v>1</v>
      </c>
      <c r="L8">
        <v>1</v>
      </c>
    </row>
    <row r="9" spans="1:12" x14ac:dyDescent="0.2">
      <c r="A9">
        <v>8</v>
      </c>
      <c r="B9">
        <v>7</v>
      </c>
      <c r="C9">
        <v>6</v>
      </c>
      <c r="D9">
        <f t="shared" si="0"/>
        <v>1</v>
      </c>
      <c r="E9">
        <f>IF(WarsAnalysis[[#This Row],[ScoreDiff]]&gt;0,1,0)</f>
        <v>1</v>
      </c>
      <c r="F9">
        <v>0</v>
      </c>
      <c r="G9" t="s">
        <v>6</v>
      </c>
      <c r="H9">
        <v>0</v>
      </c>
      <c r="I9" s="1" t="s">
        <v>28</v>
      </c>
      <c r="J9">
        <v>2</v>
      </c>
      <c r="K9">
        <v>1</v>
      </c>
      <c r="L9">
        <v>1</v>
      </c>
    </row>
    <row r="10" spans="1:12" x14ac:dyDescent="0.2">
      <c r="A10">
        <v>9</v>
      </c>
      <c r="B10">
        <v>19</v>
      </c>
      <c r="C10">
        <v>17</v>
      </c>
      <c r="D10">
        <f t="shared" si="0"/>
        <v>2</v>
      </c>
      <c r="E10">
        <f>IF(WarsAnalysis[[#This Row],[ScoreDiff]]&gt;0,1,0)</f>
        <v>1</v>
      </c>
      <c r="F10">
        <v>0</v>
      </c>
      <c r="G10" t="s">
        <v>6</v>
      </c>
      <c r="H10">
        <v>0</v>
      </c>
      <c r="I10" s="1" t="s">
        <v>29</v>
      </c>
      <c r="J10">
        <v>2</v>
      </c>
      <c r="K10">
        <v>1</v>
      </c>
      <c r="L10">
        <v>1</v>
      </c>
    </row>
    <row r="11" spans="1:12" x14ac:dyDescent="0.2">
      <c r="A11">
        <v>10</v>
      </c>
      <c r="B11">
        <v>10</v>
      </c>
      <c r="C11">
        <v>4</v>
      </c>
      <c r="D11">
        <f t="shared" si="0"/>
        <v>6</v>
      </c>
      <c r="E11">
        <f>IF(WarsAnalysis[[#This Row],[ScoreDiff]]&gt;0,1,0)</f>
        <v>1</v>
      </c>
      <c r="F11">
        <v>0</v>
      </c>
      <c r="G11" t="s">
        <v>6</v>
      </c>
      <c r="H11">
        <v>0</v>
      </c>
      <c r="I11" s="1" t="s">
        <v>30</v>
      </c>
      <c r="J11">
        <v>2</v>
      </c>
      <c r="K11">
        <v>1</v>
      </c>
      <c r="L11">
        <v>1</v>
      </c>
    </row>
    <row r="12" spans="1:12" x14ac:dyDescent="0.2">
      <c r="A12">
        <v>1</v>
      </c>
      <c r="B12">
        <v>8</v>
      </c>
      <c r="C12">
        <v>4</v>
      </c>
      <c r="D12">
        <f t="shared" si="0"/>
        <v>4</v>
      </c>
      <c r="E12">
        <f>IF(WarsAnalysis[[#This Row],[ScoreDiff]]&gt;0,1,0)</f>
        <v>1</v>
      </c>
      <c r="F12">
        <v>1</v>
      </c>
      <c r="G12" t="s">
        <v>7</v>
      </c>
      <c r="H12">
        <v>0</v>
      </c>
      <c r="I12" s="1" t="s">
        <v>26</v>
      </c>
      <c r="J12">
        <v>1</v>
      </c>
      <c r="K12">
        <v>2</v>
      </c>
      <c r="L12">
        <v>1</v>
      </c>
    </row>
    <row r="13" spans="1:12" x14ac:dyDescent="0.2">
      <c r="A13">
        <v>2</v>
      </c>
      <c r="B13">
        <v>11</v>
      </c>
      <c r="C13">
        <v>3</v>
      </c>
      <c r="D13">
        <f t="shared" si="0"/>
        <v>8</v>
      </c>
      <c r="E13">
        <f>IF(WarsAnalysis[[#This Row],[ScoreDiff]]&gt;0,1,0)</f>
        <v>1</v>
      </c>
      <c r="F13">
        <v>1</v>
      </c>
      <c r="G13" t="s">
        <v>7</v>
      </c>
      <c r="H13">
        <v>0</v>
      </c>
      <c r="I13" s="1" t="s">
        <v>27</v>
      </c>
      <c r="J13">
        <v>1</v>
      </c>
      <c r="K13">
        <v>2</v>
      </c>
      <c r="L13">
        <v>1</v>
      </c>
    </row>
    <row r="14" spans="1:12" x14ac:dyDescent="0.2">
      <c r="A14">
        <v>3</v>
      </c>
      <c r="B14">
        <v>5</v>
      </c>
      <c r="C14">
        <v>7</v>
      </c>
      <c r="D14">
        <f t="shared" si="0"/>
        <v>-2</v>
      </c>
      <c r="E14">
        <f>IF(WarsAnalysis[[#This Row],[ScoreDiff]]&gt;0,1,0)</f>
        <v>0</v>
      </c>
      <c r="F14">
        <v>1</v>
      </c>
      <c r="G14" t="s">
        <v>7</v>
      </c>
      <c r="H14">
        <v>0</v>
      </c>
      <c r="I14" s="1" t="s">
        <v>28</v>
      </c>
      <c r="J14">
        <v>1</v>
      </c>
      <c r="K14">
        <v>2</v>
      </c>
      <c r="L14">
        <v>1</v>
      </c>
    </row>
    <row r="15" spans="1:12" x14ac:dyDescent="0.2">
      <c r="A15">
        <v>4</v>
      </c>
      <c r="B15">
        <v>8</v>
      </c>
      <c r="C15">
        <v>5</v>
      </c>
      <c r="D15">
        <f t="shared" si="0"/>
        <v>3</v>
      </c>
      <c r="E15">
        <f>IF(WarsAnalysis[[#This Row],[ScoreDiff]]&gt;0,1,0)</f>
        <v>1</v>
      </c>
      <c r="F15">
        <v>1</v>
      </c>
      <c r="G15" t="s">
        <v>7</v>
      </c>
      <c r="H15">
        <v>0</v>
      </c>
      <c r="I15" s="1" t="s">
        <v>29</v>
      </c>
      <c r="J15">
        <v>1</v>
      </c>
      <c r="K15">
        <v>2</v>
      </c>
      <c r="L15">
        <v>1</v>
      </c>
    </row>
    <row r="16" spans="1:12" x14ac:dyDescent="0.2">
      <c r="A16">
        <v>5</v>
      </c>
      <c r="B16">
        <v>13</v>
      </c>
      <c r="C16">
        <v>10</v>
      </c>
      <c r="D16">
        <f t="shared" si="0"/>
        <v>3</v>
      </c>
      <c r="E16">
        <f>IF(WarsAnalysis[[#This Row],[ScoreDiff]]&gt;0,1,0)</f>
        <v>1</v>
      </c>
      <c r="F16">
        <v>1</v>
      </c>
      <c r="G16" t="s">
        <v>7</v>
      </c>
      <c r="H16">
        <v>0</v>
      </c>
      <c r="I16" s="1" t="s">
        <v>30</v>
      </c>
      <c r="J16">
        <v>1</v>
      </c>
      <c r="K16">
        <v>2</v>
      </c>
      <c r="L16">
        <v>1</v>
      </c>
    </row>
    <row r="17" spans="1:12" x14ac:dyDescent="0.2">
      <c r="A17">
        <v>6</v>
      </c>
      <c r="B17">
        <v>5</v>
      </c>
      <c r="C17">
        <v>8</v>
      </c>
      <c r="D17">
        <f t="shared" si="0"/>
        <v>-3</v>
      </c>
      <c r="E17">
        <f>IF(WarsAnalysis[[#This Row],[ScoreDiff]]&gt;0,1,0)</f>
        <v>0</v>
      </c>
      <c r="F17">
        <v>1</v>
      </c>
      <c r="G17" t="s">
        <v>7</v>
      </c>
      <c r="H17">
        <v>0</v>
      </c>
      <c r="I17" s="1" t="s">
        <v>26</v>
      </c>
      <c r="J17">
        <v>2</v>
      </c>
      <c r="K17">
        <v>2</v>
      </c>
      <c r="L17">
        <v>1</v>
      </c>
    </row>
    <row r="18" spans="1:12" x14ac:dyDescent="0.2">
      <c r="A18">
        <v>7</v>
      </c>
      <c r="B18">
        <v>9</v>
      </c>
      <c r="C18">
        <v>5</v>
      </c>
      <c r="D18">
        <f t="shared" si="0"/>
        <v>4</v>
      </c>
      <c r="E18">
        <f>IF(WarsAnalysis[[#This Row],[ScoreDiff]]&gt;0,1,0)</f>
        <v>1</v>
      </c>
      <c r="F18">
        <v>1</v>
      </c>
      <c r="G18" t="s">
        <v>7</v>
      </c>
      <c r="H18">
        <v>0</v>
      </c>
      <c r="I18" s="1" t="s">
        <v>27</v>
      </c>
      <c r="J18">
        <v>2</v>
      </c>
      <c r="K18">
        <v>2</v>
      </c>
      <c r="L18">
        <v>1</v>
      </c>
    </row>
    <row r="19" spans="1:12" x14ac:dyDescent="0.2">
      <c r="A19">
        <v>8</v>
      </c>
      <c r="B19">
        <v>8</v>
      </c>
      <c r="C19">
        <v>6</v>
      </c>
      <c r="D19">
        <f t="shared" si="0"/>
        <v>2</v>
      </c>
      <c r="E19">
        <f>IF(WarsAnalysis[[#This Row],[ScoreDiff]]&gt;0,1,0)</f>
        <v>1</v>
      </c>
      <c r="F19">
        <v>1</v>
      </c>
      <c r="G19" t="s">
        <v>7</v>
      </c>
      <c r="H19">
        <v>0</v>
      </c>
      <c r="I19" s="1" t="s">
        <v>28</v>
      </c>
      <c r="J19">
        <v>2</v>
      </c>
      <c r="K19">
        <v>2</v>
      </c>
      <c r="L19">
        <v>1</v>
      </c>
    </row>
    <row r="20" spans="1:12" x14ac:dyDescent="0.2">
      <c r="A20">
        <v>9</v>
      </c>
      <c r="B20">
        <v>10</v>
      </c>
      <c r="C20">
        <v>7</v>
      </c>
      <c r="D20">
        <f t="shared" si="0"/>
        <v>3</v>
      </c>
      <c r="E20">
        <f>IF(WarsAnalysis[[#This Row],[ScoreDiff]]&gt;0,1,0)</f>
        <v>1</v>
      </c>
      <c r="F20">
        <v>1</v>
      </c>
      <c r="G20" t="s">
        <v>7</v>
      </c>
      <c r="H20">
        <v>0</v>
      </c>
      <c r="I20" s="1" t="s">
        <v>29</v>
      </c>
      <c r="J20">
        <v>2</v>
      </c>
      <c r="K20">
        <v>2</v>
      </c>
      <c r="L20">
        <v>1</v>
      </c>
    </row>
    <row r="21" spans="1:12" x14ac:dyDescent="0.2">
      <c r="A21">
        <v>10</v>
      </c>
      <c r="B21">
        <v>2</v>
      </c>
      <c r="C21">
        <v>6</v>
      </c>
      <c r="D21">
        <f t="shared" si="0"/>
        <v>-4</v>
      </c>
      <c r="E21">
        <f>IF(WarsAnalysis[[#This Row],[ScoreDiff]]&gt;0,1,0)</f>
        <v>0</v>
      </c>
      <c r="F21">
        <v>1</v>
      </c>
      <c r="G21" t="s">
        <v>7</v>
      </c>
      <c r="H21">
        <v>0</v>
      </c>
      <c r="I21" s="1" t="s">
        <v>30</v>
      </c>
      <c r="J21">
        <v>2</v>
      </c>
      <c r="K21">
        <v>2</v>
      </c>
      <c r="L21">
        <v>1</v>
      </c>
    </row>
    <row r="22" spans="1:12" x14ac:dyDescent="0.2">
      <c r="A22">
        <v>1</v>
      </c>
      <c r="B22">
        <v>8</v>
      </c>
      <c r="C22">
        <v>13</v>
      </c>
      <c r="D22">
        <f t="shared" si="0"/>
        <v>-5</v>
      </c>
      <c r="E22">
        <f>IF(WarsAnalysis[[#This Row],[ScoreDiff]]&gt;0,1,0)</f>
        <v>0</v>
      </c>
      <c r="F22">
        <v>0</v>
      </c>
      <c r="G22" t="s">
        <v>8</v>
      </c>
      <c r="H22">
        <v>0</v>
      </c>
      <c r="I22" s="1" t="s">
        <v>26</v>
      </c>
      <c r="J22">
        <v>1</v>
      </c>
      <c r="K22">
        <v>3</v>
      </c>
      <c r="L22">
        <v>0</v>
      </c>
    </row>
    <row r="23" spans="1:12" x14ac:dyDescent="0.2">
      <c r="A23">
        <v>2</v>
      </c>
      <c r="B23">
        <v>7</v>
      </c>
      <c r="C23">
        <v>7</v>
      </c>
      <c r="D23">
        <f t="shared" si="0"/>
        <v>0</v>
      </c>
      <c r="E23">
        <f>IF(WarsAnalysis[[#This Row],[ScoreDiff]]&gt;0,1,0)</f>
        <v>0</v>
      </c>
      <c r="F23">
        <v>0</v>
      </c>
      <c r="G23" t="s">
        <v>8</v>
      </c>
      <c r="H23">
        <v>0</v>
      </c>
      <c r="I23" s="1" t="s">
        <v>27</v>
      </c>
      <c r="J23">
        <v>1</v>
      </c>
      <c r="K23">
        <v>3</v>
      </c>
      <c r="L23">
        <v>0</v>
      </c>
    </row>
    <row r="24" spans="1:12" x14ac:dyDescent="0.2">
      <c r="A24">
        <v>3</v>
      </c>
      <c r="B24">
        <v>5</v>
      </c>
      <c r="C24">
        <v>12</v>
      </c>
      <c r="D24">
        <f t="shared" si="0"/>
        <v>-7</v>
      </c>
      <c r="E24">
        <f>IF(WarsAnalysis[[#This Row],[ScoreDiff]]&gt;0,1,0)</f>
        <v>0</v>
      </c>
      <c r="F24">
        <v>0</v>
      </c>
      <c r="G24" t="s">
        <v>8</v>
      </c>
      <c r="H24">
        <v>0</v>
      </c>
      <c r="I24" s="1" t="s">
        <v>28</v>
      </c>
      <c r="J24">
        <v>1</v>
      </c>
      <c r="K24">
        <v>3</v>
      </c>
      <c r="L24">
        <v>0</v>
      </c>
    </row>
    <row r="25" spans="1:12" x14ac:dyDescent="0.2">
      <c r="A25">
        <v>4</v>
      </c>
      <c r="B25">
        <v>2</v>
      </c>
      <c r="C25">
        <v>7</v>
      </c>
      <c r="D25">
        <f t="shared" si="0"/>
        <v>-5</v>
      </c>
      <c r="E25">
        <f>IF(WarsAnalysis[[#This Row],[ScoreDiff]]&gt;0,1,0)</f>
        <v>0</v>
      </c>
      <c r="F25">
        <v>0</v>
      </c>
      <c r="G25" t="s">
        <v>8</v>
      </c>
      <c r="H25">
        <v>0</v>
      </c>
      <c r="I25" s="1" t="s">
        <v>29</v>
      </c>
      <c r="J25">
        <v>1</v>
      </c>
      <c r="K25">
        <v>3</v>
      </c>
      <c r="L25">
        <v>0</v>
      </c>
    </row>
    <row r="26" spans="1:12" x14ac:dyDescent="0.2">
      <c r="A26">
        <v>5</v>
      </c>
      <c r="B26">
        <v>7</v>
      </c>
      <c r="C26">
        <v>10</v>
      </c>
      <c r="D26">
        <f t="shared" si="0"/>
        <v>-3</v>
      </c>
      <c r="E26">
        <f>IF(WarsAnalysis[[#This Row],[ScoreDiff]]&gt;0,1,0)</f>
        <v>0</v>
      </c>
      <c r="F26">
        <v>0</v>
      </c>
      <c r="G26" t="s">
        <v>8</v>
      </c>
      <c r="H26">
        <v>0</v>
      </c>
      <c r="I26" s="1" t="s">
        <v>30</v>
      </c>
      <c r="J26">
        <v>1</v>
      </c>
      <c r="K26">
        <v>3</v>
      </c>
      <c r="L26">
        <v>0</v>
      </c>
    </row>
    <row r="27" spans="1:12" x14ac:dyDescent="0.2">
      <c r="A27">
        <v>6</v>
      </c>
      <c r="B27">
        <v>11</v>
      </c>
      <c r="C27">
        <v>8</v>
      </c>
      <c r="D27">
        <f t="shared" si="0"/>
        <v>3</v>
      </c>
      <c r="E27">
        <f>IF(WarsAnalysis[[#This Row],[ScoreDiff]]&gt;0,1,0)</f>
        <v>1</v>
      </c>
      <c r="F27">
        <v>0</v>
      </c>
      <c r="G27" t="s">
        <v>8</v>
      </c>
      <c r="H27">
        <v>0</v>
      </c>
      <c r="I27" s="1" t="s">
        <v>26</v>
      </c>
      <c r="J27">
        <v>2</v>
      </c>
      <c r="K27">
        <v>3</v>
      </c>
      <c r="L27">
        <v>0</v>
      </c>
    </row>
    <row r="28" spans="1:12" x14ac:dyDescent="0.2">
      <c r="A28">
        <v>7</v>
      </c>
      <c r="B28">
        <v>3</v>
      </c>
      <c r="C28">
        <v>11</v>
      </c>
      <c r="D28">
        <f t="shared" si="0"/>
        <v>-8</v>
      </c>
      <c r="E28">
        <f>IF(WarsAnalysis[[#This Row],[ScoreDiff]]&gt;0,1,0)</f>
        <v>0</v>
      </c>
      <c r="F28">
        <v>0</v>
      </c>
      <c r="G28" t="s">
        <v>8</v>
      </c>
      <c r="H28">
        <v>0</v>
      </c>
      <c r="I28" s="1" t="s">
        <v>27</v>
      </c>
      <c r="J28">
        <v>2</v>
      </c>
      <c r="K28">
        <v>3</v>
      </c>
      <c r="L28">
        <v>0</v>
      </c>
    </row>
    <row r="29" spans="1:12" x14ac:dyDescent="0.2">
      <c r="A29">
        <v>8</v>
      </c>
      <c r="B29">
        <v>8</v>
      </c>
      <c r="C29">
        <v>15</v>
      </c>
      <c r="D29">
        <f t="shared" si="0"/>
        <v>-7</v>
      </c>
      <c r="E29">
        <f>IF(WarsAnalysis[[#This Row],[ScoreDiff]]&gt;0,1,0)</f>
        <v>0</v>
      </c>
      <c r="F29">
        <v>0</v>
      </c>
      <c r="G29" t="s">
        <v>8</v>
      </c>
      <c r="H29">
        <v>0</v>
      </c>
      <c r="I29" s="1" t="s">
        <v>28</v>
      </c>
      <c r="J29">
        <v>2</v>
      </c>
      <c r="K29">
        <v>3</v>
      </c>
      <c r="L29">
        <v>0</v>
      </c>
    </row>
    <row r="30" spans="1:12" x14ac:dyDescent="0.2">
      <c r="A30">
        <v>9</v>
      </c>
      <c r="B30">
        <v>2</v>
      </c>
      <c r="C30">
        <v>11</v>
      </c>
      <c r="D30">
        <f t="shared" si="0"/>
        <v>-9</v>
      </c>
      <c r="E30">
        <f>IF(WarsAnalysis[[#This Row],[ScoreDiff]]&gt;0,1,0)</f>
        <v>0</v>
      </c>
      <c r="F30">
        <v>0</v>
      </c>
      <c r="G30" t="s">
        <v>8</v>
      </c>
      <c r="H30">
        <v>0</v>
      </c>
      <c r="I30" s="1" t="s">
        <v>29</v>
      </c>
      <c r="J30">
        <v>2</v>
      </c>
      <c r="K30">
        <v>3</v>
      </c>
      <c r="L30">
        <v>0</v>
      </c>
    </row>
    <row r="31" spans="1:12" x14ac:dyDescent="0.2">
      <c r="A31">
        <v>10</v>
      </c>
      <c r="B31">
        <v>6</v>
      </c>
      <c r="C31">
        <v>10</v>
      </c>
      <c r="D31">
        <f t="shared" si="0"/>
        <v>-4</v>
      </c>
      <c r="E31">
        <f>IF(WarsAnalysis[[#This Row],[ScoreDiff]]&gt;0,1,0)</f>
        <v>0</v>
      </c>
      <c r="F31">
        <v>0</v>
      </c>
      <c r="G31" t="s">
        <v>8</v>
      </c>
      <c r="H31">
        <v>0</v>
      </c>
      <c r="I31" s="1" t="s">
        <v>30</v>
      </c>
      <c r="J31">
        <v>2</v>
      </c>
      <c r="K31">
        <v>3</v>
      </c>
      <c r="L31">
        <v>0</v>
      </c>
    </row>
    <row r="32" spans="1:12" x14ac:dyDescent="0.2">
      <c r="A32">
        <v>1</v>
      </c>
      <c r="B32">
        <v>8</v>
      </c>
      <c r="C32">
        <v>10</v>
      </c>
      <c r="D32">
        <f t="shared" si="0"/>
        <v>-2</v>
      </c>
      <c r="E32">
        <f>IF(WarsAnalysis[[#This Row],[ScoreDiff]]&gt;0,1,0)</f>
        <v>0</v>
      </c>
      <c r="F32">
        <v>0</v>
      </c>
      <c r="G32" t="s">
        <v>9</v>
      </c>
      <c r="H32">
        <v>0</v>
      </c>
      <c r="I32" s="1" t="s">
        <v>26</v>
      </c>
      <c r="J32">
        <v>1</v>
      </c>
      <c r="K32">
        <v>4</v>
      </c>
      <c r="L32">
        <v>0</v>
      </c>
    </row>
    <row r="33" spans="1:12" x14ac:dyDescent="0.2">
      <c r="A33">
        <v>2</v>
      </c>
      <c r="B33">
        <v>2</v>
      </c>
      <c r="C33">
        <v>5</v>
      </c>
      <c r="D33">
        <f t="shared" si="0"/>
        <v>-3</v>
      </c>
      <c r="E33">
        <f>IF(WarsAnalysis[[#This Row],[ScoreDiff]]&gt;0,1,0)</f>
        <v>0</v>
      </c>
      <c r="F33">
        <v>0</v>
      </c>
      <c r="G33" t="s">
        <v>9</v>
      </c>
      <c r="H33">
        <v>0</v>
      </c>
      <c r="I33" s="1" t="s">
        <v>27</v>
      </c>
      <c r="J33">
        <v>1</v>
      </c>
      <c r="K33">
        <v>4</v>
      </c>
      <c r="L33">
        <v>0</v>
      </c>
    </row>
    <row r="34" spans="1:12" x14ac:dyDescent="0.2">
      <c r="A34">
        <v>3</v>
      </c>
      <c r="B34">
        <v>4</v>
      </c>
      <c r="C34">
        <v>13</v>
      </c>
      <c r="D34">
        <f t="shared" ref="D34:D65" si="1">B34-C34</f>
        <v>-9</v>
      </c>
      <c r="E34">
        <f>IF(WarsAnalysis[[#This Row],[ScoreDiff]]&gt;0,1,0)</f>
        <v>0</v>
      </c>
      <c r="F34">
        <v>0</v>
      </c>
      <c r="G34" t="s">
        <v>9</v>
      </c>
      <c r="H34">
        <v>0</v>
      </c>
      <c r="I34" s="1" t="s">
        <v>28</v>
      </c>
      <c r="J34">
        <v>1</v>
      </c>
      <c r="K34">
        <v>4</v>
      </c>
      <c r="L34">
        <v>0</v>
      </c>
    </row>
    <row r="35" spans="1:12" x14ac:dyDescent="0.2">
      <c r="A35">
        <v>4</v>
      </c>
      <c r="B35">
        <v>10</v>
      </c>
      <c r="C35">
        <v>7</v>
      </c>
      <c r="D35">
        <f t="shared" si="1"/>
        <v>3</v>
      </c>
      <c r="E35">
        <f>IF(WarsAnalysis[[#This Row],[ScoreDiff]]&gt;0,1,0)</f>
        <v>1</v>
      </c>
      <c r="F35">
        <v>0</v>
      </c>
      <c r="G35" t="s">
        <v>9</v>
      </c>
      <c r="H35">
        <v>0</v>
      </c>
      <c r="I35" s="1" t="s">
        <v>29</v>
      </c>
      <c r="J35">
        <v>1</v>
      </c>
      <c r="K35">
        <v>4</v>
      </c>
      <c r="L35">
        <v>0</v>
      </c>
    </row>
    <row r="36" spans="1:12" x14ac:dyDescent="0.2">
      <c r="A36">
        <v>5</v>
      </c>
      <c r="B36">
        <v>6</v>
      </c>
      <c r="C36">
        <v>11</v>
      </c>
      <c r="D36">
        <f t="shared" si="1"/>
        <v>-5</v>
      </c>
      <c r="E36">
        <f>IF(WarsAnalysis[[#This Row],[ScoreDiff]]&gt;0,1,0)</f>
        <v>0</v>
      </c>
      <c r="F36">
        <v>0</v>
      </c>
      <c r="G36" t="s">
        <v>9</v>
      </c>
      <c r="H36">
        <v>0</v>
      </c>
      <c r="I36" s="1" t="s">
        <v>30</v>
      </c>
      <c r="J36">
        <v>1</v>
      </c>
      <c r="K36">
        <v>4</v>
      </c>
      <c r="L36">
        <v>0</v>
      </c>
    </row>
    <row r="37" spans="1:12" x14ac:dyDescent="0.2">
      <c r="A37">
        <v>6</v>
      </c>
      <c r="B37">
        <v>12</v>
      </c>
      <c r="C37">
        <v>9</v>
      </c>
      <c r="D37">
        <f t="shared" si="1"/>
        <v>3</v>
      </c>
      <c r="E37">
        <f>IF(WarsAnalysis[[#This Row],[ScoreDiff]]&gt;0,1,0)</f>
        <v>1</v>
      </c>
      <c r="F37">
        <v>0</v>
      </c>
      <c r="G37" t="s">
        <v>9</v>
      </c>
      <c r="H37">
        <v>0</v>
      </c>
      <c r="I37" s="1" t="s">
        <v>26</v>
      </c>
      <c r="J37">
        <v>2</v>
      </c>
      <c r="K37">
        <v>4</v>
      </c>
      <c r="L37">
        <v>0</v>
      </c>
    </row>
    <row r="38" spans="1:12" x14ac:dyDescent="0.2">
      <c r="A38">
        <v>7</v>
      </c>
      <c r="B38">
        <v>14</v>
      </c>
      <c r="C38">
        <v>15</v>
      </c>
      <c r="D38">
        <f t="shared" si="1"/>
        <v>-1</v>
      </c>
      <c r="E38">
        <f>IF(WarsAnalysis[[#This Row],[ScoreDiff]]&gt;0,1,0)</f>
        <v>0</v>
      </c>
      <c r="F38">
        <v>0</v>
      </c>
      <c r="G38" t="s">
        <v>9</v>
      </c>
      <c r="H38">
        <v>0</v>
      </c>
      <c r="I38" s="1" t="s">
        <v>27</v>
      </c>
      <c r="J38">
        <v>2</v>
      </c>
      <c r="K38">
        <v>4</v>
      </c>
      <c r="L38">
        <v>0</v>
      </c>
    </row>
    <row r="39" spans="1:12" x14ac:dyDescent="0.2">
      <c r="A39">
        <v>8</v>
      </c>
      <c r="B39">
        <v>2</v>
      </c>
      <c r="C39">
        <v>3</v>
      </c>
      <c r="D39">
        <f t="shared" si="1"/>
        <v>-1</v>
      </c>
      <c r="E39">
        <f>IF(WarsAnalysis[[#This Row],[ScoreDiff]]&gt;0,1,0)</f>
        <v>0</v>
      </c>
      <c r="F39">
        <v>0</v>
      </c>
      <c r="G39" t="s">
        <v>9</v>
      </c>
      <c r="H39">
        <v>0</v>
      </c>
      <c r="I39" s="1" t="s">
        <v>28</v>
      </c>
      <c r="J39">
        <v>2</v>
      </c>
      <c r="K39">
        <v>4</v>
      </c>
      <c r="L39">
        <v>0</v>
      </c>
    </row>
    <row r="40" spans="1:12" x14ac:dyDescent="0.2">
      <c r="A40">
        <v>9</v>
      </c>
      <c r="B40">
        <v>9</v>
      </c>
      <c r="C40">
        <v>11</v>
      </c>
      <c r="D40">
        <f t="shared" si="1"/>
        <v>-2</v>
      </c>
      <c r="E40">
        <f>IF(WarsAnalysis[[#This Row],[ScoreDiff]]&gt;0,1,0)</f>
        <v>0</v>
      </c>
      <c r="F40">
        <v>0</v>
      </c>
      <c r="G40" t="s">
        <v>9</v>
      </c>
      <c r="H40">
        <v>0</v>
      </c>
      <c r="I40" s="1" t="s">
        <v>29</v>
      </c>
      <c r="J40">
        <v>2</v>
      </c>
      <c r="K40">
        <v>4</v>
      </c>
      <c r="L40">
        <v>0</v>
      </c>
    </row>
    <row r="41" spans="1:12" x14ac:dyDescent="0.2">
      <c r="A41">
        <v>10</v>
      </c>
      <c r="B41">
        <v>4</v>
      </c>
      <c r="C41">
        <v>14</v>
      </c>
      <c r="D41">
        <f t="shared" si="1"/>
        <v>-10</v>
      </c>
      <c r="E41">
        <f>IF(WarsAnalysis[[#This Row],[ScoreDiff]]&gt;0,1,0)</f>
        <v>0</v>
      </c>
      <c r="F41">
        <v>0</v>
      </c>
      <c r="G41" t="s">
        <v>9</v>
      </c>
      <c r="H41">
        <v>0</v>
      </c>
      <c r="I41" s="1" t="s">
        <v>30</v>
      </c>
      <c r="J41">
        <v>2</v>
      </c>
      <c r="K41">
        <v>4</v>
      </c>
      <c r="L41">
        <v>0</v>
      </c>
    </row>
    <row r="42" spans="1:12" x14ac:dyDescent="0.2">
      <c r="A42">
        <v>1</v>
      </c>
      <c r="B42">
        <v>8</v>
      </c>
      <c r="C42">
        <v>5</v>
      </c>
      <c r="D42">
        <f t="shared" si="1"/>
        <v>3</v>
      </c>
      <c r="E42">
        <f>IF(WarsAnalysis[[#This Row],[ScoreDiff]]&gt;0,1,0)</f>
        <v>1</v>
      </c>
      <c r="F42">
        <v>1</v>
      </c>
      <c r="G42" t="s">
        <v>10</v>
      </c>
      <c r="H42">
        <v>0</v>
      </c>
      <c r="I42" s="1" t="s">
        <v>26</v>
      </c>
      <c r="J42">
        <v>1</v>
      </c>
      <c r="K42">
        <v>5</v>
      </c>
      <c r="L42">
        <v>1</v>
      </c>
    </row>
    <row r="43" spans="1:12" x14ac:dyDescent="0.2">
      <c r="A43">
        <v>2</v>
      </c>
      <c r="B43">
        <v>9</v>
      </c>
      <c r="C43">
        <v>4</v>
      </c>
      <c r="D43">
        <f t="shared" si="1"/>
        <v>5</v>
      </c>
      <c r="E43">
        <f>IF(WarsAnalysis[[#This Row],[ScoreDiff]]&gt;0,1,0)</f>
        <v>1</v>
      </c>
      <c r="F43">
        <v>1</v>
      </c>
      <c r="G43" t="s">
        <v>10</v>
      </c>
      <c r="H43">
        <v>0</v>
      </c>
      <c r="I43" s="1" t="s">
        <v>27</v>
      </c>
      <c r="J43">
        <v>1</v>
      </c>
      <c r="K43">
        <v>5</v>
      </c>
      <c r="L43">
        <v>1</v>
      </c>
    </row>
    <row r="44" spans="1:12" x14ac:dyDescent="0.2">
      <c r="A44">
        <v>3</v>
      </c>
      <c r="B44">
        <v>8</v>
      </c>
      <c r="C44">
        <v>2</v>
      </c>
      <c r="D44">
        <f t="shared" si="1"/>
        <v>6</v>
      </c>
      <c r="E44">
        <f>IF(WarsAnalysis[[#This Row],[ScoreDiff]]&gt;0,1,0)</f>
        <v>1</v>
      </c>
      <c r="F44">
        <v>1</v>
      </c>
      <c r="G44" t="s">
        <v>10</v>
      </c>
      <c r="H44">
        <v>0</v>
      </c>
      <c r="I44" s="1" t="s">
        <v>28</v>
      </c>
      <c r="J44">
        <v>1</v>
      </c>
      <c r="K44">
        <v>5</v>
      </c>
      <c r="L44">
        <v>1</v>
      </c>
    </row>
    <row r="45" spans="1:12" x14ac:dyDescent="0.2">
      <c r="A45">
        <v>4</v>
      </c>
      <c r="B45">
        <v>5</v>
      </c>
      <c r="C45">
        <v>12</v>
      </c>
      <c r="D45">
        <f t="shared" si="1"/>
        <v>-7</v>
      </c>
      <c r="E45">
        <f>IF(WarsAnalysis[[#This Row],[ScoreDiff]]&gt;0,1,0)</f>
        <v>0</v>
      </c>
      <c r="F45">
        <v>1</v>
      </c>
      <c r="G45" t="s">
        <v>10</v>
      </c>
      <c r="H45">
        <v>0</v>
      </c>
      <c r="I45" s="1" t="s">
        <v>29</v>
      </c>
      <c r="J45">
        <v>1</v>
      </c>
      <c r="K45">
        <v>5</v>
      </c>
      <c r="L45">
        <v>1</v>
      </c>
    </row>
    <row r="46" spans="1:12" x14ac:dyDescent="0.2">
      <c r="A46">
        <v>5</v>
      </c>
      <c r="B46">
        <v>11</v>
      </c>
      <c r="C46">
        <v>2</v>
      </c>
      <c r="D46">
        <f t="shared" si="1"/>
        <v>9</v>
      </c>
      <c r="E46">
        <f>IF(WarsAnalysis[[#This Row],[ScoreDiff]]&gt;0,1,0)</f>
        <v>1</v>
      </c>
      <c r="F46">
        <v>1</v>
      </c>
      <c r="G46" t="s">
        <v>10</v>
      </c>
      <c r="H46">
        <v>0</v>
      </c>
      <c r="I46" s="1" t="s">
        <v>30</v>
      </c>
      <c r="J46">
        <v>1</v>
      </c>
      <c r="K46">
        <v>5</v>
      </c>
      <c r="L46">
        <v>1</v>
      </c>
    </row>
    <row r="47" spans="1:12" x14ac:dyDescent="0.2">
      <c r="A47">
        <v>6</v>
      </c>
      <c r="B47">
        <v>12</v>
      </c>
      <c r="C47">
        <v>4</v>
      </c>
      <c r="D47">
        <f t="shared" si="1"/>
        <v>8</v>
      </c>
      <c r="E47">
        <f>IF(WarsAnalysis[[#This Row],[ScoreDiff]]&gt;0,1,0)</f>
        <v>1</v>
      </c>
      <c r="F47">
        <v>1</v>
      </c>
      <c r="G47" t="s">
        <v>10</v>
      </c>
      <c r="H47">
        <v>0</v>
      </c>
      <c r="I47" s="1" t="s">
        <v>26</v>
      </c>
      <c r="J47">
        <v>2</v>
      </c>
      <c r="K47">
        <v>5</v>
      </c>
      <c r="L47">
        <v>1</v>
      </c>
    </row>
    <row r="48" spans="1:12" x14ac:dyDescent="0.2">
      <c r="A48">
        <v>7</v>
      </c>
      <c r="B48">
        <v>9</v>
      </c>
      <c r="C48">
        <v>6</v>
      </c>
      <c r="D48">
        <f t="shared" si="1"/>
        <v>3</v>
      </c>
      <c r="E48">
        <f>IF(WarsAnalysis[[#This Row],[ScoreDiff]]&gt;0,1,0)</f>
        <v>1</v>
      </c>
      <c r="F48">
        <v>1</v>
      </c>
      <c r="G48" t="s">
        <v>10</v>
      </c>
      <c r="H48">
        <v>0</v>
      </c>
      <c r="I48" s="1" t="s">
        <v>27</v>
      </c>
      <c r="J48">
        <v>2</v>
      </c>
      <c r="K48">
        <v>5</v>
      </c>
      <c r="L48">
        <v>1</v>
      </c>
    </row>
    <row r="49" spans="1:12" x14ac:dyDescent="0.2">
      <c r="A49">
        <v>8</v>
      </c>
      <c r="B49">
        <v>8</v>
      </c>
      <c r="C49">
        <v>8</v>
      </c>
      <c r="D49">
        <f t="shared" si="1"/>
        <v>0</v>
      </c>
      <c r="E49">
        <f>IF(WarsAnalysis[[#This Row],[ScoreDiff]]&gt;0,1,0)</f>
        <v>0</v>
      </c>
      <c r="F49">
        <v>1</v>
      </c>
      <c r="G49" t="s">
        <v>10</v>
      </c>
      <c r="H49">
        <v>0</v>
      </c>
      <c r="I49" s="1" t="s">
        <v>28</v>
      </c>
      <c r="J49">
        <v>2</v>
      </c>
      <c r="K49">
        <v>5</v>
      </c>
      <c r="L49">
        <v>1</v>
      </c>
    </row>
    <row r="50" spans="1:12" x14ac:dyDescent="0.2">
      <c r="A50">
        <v>9</v>
      </c>
      <c r="B50">
        <v>10</v>
      </c>
      <c r="C50">
        <v>8</v>
      </c>
      <c r="D50">
        <f t="shared" si="1"/>
        <v>2</v>
      </c>
      <c r="E50">
        <f>IF(WarsAnalysis[[#This Row],[ScoreDiff]]&gt;0,1,0)</f>
        <v>1</v>
      </c>
      <c r="F50">
        <v>1</v>
      </c>
      <c r="G50" t="s">
        <v>10</v>
      </c>
      <c r="H50">
        <v>0</v>
      </c>
      <c r="I50" s="1" t="s">
        <v>29</v>
      </c>
      <c r="J50">
        <v>2</v>
      </c>
      <c r="K50">
        <v>5</v>
      </c>
      <c r="L50">
        <v>1</v>
      </c>
    </row>
    <row r="51" spans="1:12" x14ac:dyDescent="0.2">
      <c r="A51">
        <v>10</v>
      </c>
      <c r="B51">
        <v>12</v>
      </c>
      <c r="C51">
        <v>4</v>
      </c>
      <c r="D51">
        <f t="shared" si="1"/>
        <v>8</v>
      </c>
      <c r="E51">
        <f>IF(WarsAnalysis[[#This Row],[ScoreDiff]]&gt;0,1,0)</f>
        <v>1</v>
      </c>
      <c r="F51">
        <v>1</v>
      </c>
      <c r="G51" t="s">
        <v>10</v>
      </c>
      <c r="H51">
        <v>0</v>
      </c>
      <c r="I51" s="1" t="s">
        <v>30</v>
      </c>
      <c r="J51">
        <v>2</v>
      </c>
      <c r="K51">
        <v>5</v>
      </c>
      <c r="L51">
        <v>1</v>
      </c>
    </row>
    <row r="52" spans="1:12" x14ac:dyDescent="0.2">
      <c r="A52">
        <v>1</v>
      </c>
      <c r="B52">
        <v>11</v>
      </c>
      <c r="C52">
        <v>8</v>
      </c>
      <c r="D52">
        <f t="shared" si="1"/>
        <v>3</v>
      </c>
      <c r="E52">
        <f>IF(WarsAnalysis[[#This Row],[ScoreDiff]]&gt;0,1,0)</f>
        <v>1</v>
      </c>
      <c r="F52">
        <v>0</v>
      </c>
      <c r="G52" t="s">
        <v>11</v>
      </c>
      <c r="H52">
        <v>0</v>
      </c>
      <c r="I52" s="1" t="s">
        <v>26</v>
      </c>
      <c r="J52">
        <v>1</v>
      </c>
      <c r="K52">
        <v>6</v>
      </c>
      <c r="L52">
        <v>1</v>
      </c>
    </row>
    <row r="53" spans="1:12" x14ac:dyDescent="0.2">
      <c r="A53">
        <v>2</v>
      </c>
      <c r="B53">
        <v>5</v>
      </c>
      <c r="C53">
        <v>14</v>
      </c>
      <c r="D53">
        <f t="shared" si="1"/>
        <v>-9</v>
      </c>
      <c r="E53">
        <f>IF(WarsAnalysis[[#This Row],[ScoreDiff]]&gt;0,1,0)</f>
        <v>0</v>
      </c>
      <c r="F53">
        <v>0</v>
      </c>
      <c r="G53" t="s">
        <v>11</v>
      </c>
      <c r="H53">
        <v>0</v>
      </c>
      <c r="I53" s="1" t="s">
        <v>27</v>
      </c>
      <c r="J53">
        <v>1</v>
      </c>
      <c r="K53">
        <v>6</v>
      </c>
      <c r="L53">
        <v>1</v>
      </c>
    </row>
    <row r="54" spans="1:12" x14ac:dyDescent="0.2">
      <c r="A54">
        <v>3</v>
      </c>
      <c r="B54">
        <v>10</v>
      </c>
      <c r="C54">
        <v>6</v>
      </c>
      <c r="D54">
        <f t="shared" si="1"/>
        <v>4</v>
      </c>
      <c r="E54">
        <f>IF(WarsAnalysis[[#This Row],[ScoreDiff]]&gt;0,1,0)</f>
        <v>1</v>
      </c>
      <c r="F54">
        <v>0</v>
      </c>
      <c r="G54" t="s">
        <v>11</v>
      </c>
      <c r="H54">
        <v>0</v>
      </c>
      <c r="I54" s="1" t="s">
        <v>28</v>
      </c>
      <c r="J54">
        <v>1</v>
      </c>
      <c r="K54">
        <v>6</v>
      </c>
      <c r="L54">
        <v>1</v>
      </c>
    </row>
    <row r="55" spans="1:12" x14ac:dyDescent="0.2">
      <c r="A55">
        <v>4</v>
      </c>
      <c r="B55">
        <v>2</v>
      </c>
      <c r="C55">
        <v>10</v>
      </c>
      <c r="D55">
        <f t="shared" si="1"/>
        <v>-8</v>
      </c>
      <c r="E55">
        <f>IF(WarsAnalysis[[#This Row],[ScoreDiff]]&gt;0,1,0)</f>
        <v>0</v>
      </c>
      <c r="F55">
        <v>0</v>
      </c>
      <c r="G55" t="s">
        <v>11</v>
      </c>
      <c r="H55">
        <v>0</v>
      </c>
      <c r="I55" s="1" t="s">
        <v>29</v>
      </c>
      <c r="J55">
        <v>1</v>
      </c>
      <c r="K55">
        <v>6</v>
      </c>
      <c r="L55">
        <v>1</v>
      </c>
    </row>
    <row r="56" spans="1:12" x14ac:dyDescent="0.2">
      <c r="A56">
        <v>5</v>
      </c>
      <c r="B56">
        <v>10</v>
      </c>
      <c r="C56">
        <v>13</v>
      </c>
      <c r="D56">
        <f t="shared" si="1"/>
        <v>-3</v>
      </c>
      <c r="E56">
        <f>IF(WarsAnalysis[[#This Row],[ScoreDiff]]&gt;0,1,0)</f>
        <v>0</v>
      </c>
      <c r="F56">
        <v>0</v>
      </c>
      <c r="G56" t="s">
        <v>11</v>
      </c>
      <c r="H56">
        <v>0</v>
      </c>
      <c r="I56" s="1" t="s">
        <v>30</v>
      </c>
      <c r="J56">
        <v>1</v>
      </c>
      <c r="K56">
        <v>6</v>
      </c>
      <c r="L56">
        <v>1</v>
      </c>
    </row>
    <row r="57" spans="1:12" x14ac:dyDescent="0.2">
      <c r="A57">
        <v>6</v>
      </c>
      <c r="B57">
        <v>9</v>
      </c>
      <c r="C57">
        <v>10</v>
      </c>
      <c r="D57">
        <f t="shared" si="1"/>
        <v>-1</v>
      </c>
      <c r="E57">
        <f>IF(WarsAnalysis[[#This Row],[ScoreDiff]]&gt;0,1,0)</f>
        <v>0</v>
      </c>
      <c r="F57">
        <v>0</v>
      </c>
      <c r="G57" t="s">
        <v>11</v>
      </c>
      <c r="H57">
        <v>0</v>
      </c>
      <c r="I57" s="1" t="s">
        <v>26</v>
      </c>
      <c r="J57">
        <v>2</v>
      </c>
      <c r="K57">
        <v>6</v>
      </c>
      <c r="L57">
        <v>1</v>
      </c>
    </row>
    <row r="58" spans="1:12" x14ac:dyDescent="0.2">
      <c r="A58">
        <v>7</v>
      </c>
      <c r="B58">
        <v>6</v>
      </c>
      <c r="C58">
        <v>8</v>
      </c>
      <c r="D58">
        <f t="shared" si="1"/>
        <v>-2</v>
      </c>
      <c r="E58">
        <f>IF(WarsAnalysis[[#This Row],[ScoreDiff]]&gt;0,1,0)</f>
        <v>0</v>
      </c>
      <c r="F58">
        <v>0</v>
      </c>
      <c r="G58" t="s">
        <v>11</v>
      </c>
      <c r="H58">
        <v>0</v>
      </c>
      <c r="I58" s="1" t="s">
        <v>27</v>
      </c>
      <c r="J58">
        <v>2</v>
      </c>
      <c r="K58">
        <v>6</v>
      </c>
      <c r="L58">
        <v>1</v>
      </c>
    </row>
    <row r="59" spans="1:12" x14ac:dyDescent="0.2">
      <c r="A59">
        <v>8</v>
      </c>
      <c r="B59">
        <v>15</v>
      </c>
      <c r="C59">
        <v>4</v>
      </c>
      <c r="D59">
        <f t="shared" si="1"/>
        <v>11</v>
      </c>
      <c r="E59">
        <f>IF(WarsAnalysis[[#This Row],[ScoreDiff]]&gt;0,1,0)</f>
        <v>1</v>
      </c>
      <c r="F59">
        <v>0</v>
      </c>
      <c r="G59" t="s">
        <v>11</v>
      </c>
      <c r="H59">
        <v>0</v>
      </c>
      <c r="I59" s="1" t="s">
        <v>28</v>
      </c>
      <c r="J59">
        <v>2</v>
      </c>
      <c r="K59">
        <v>6</v>
      </c>
      <c r="L59">
        <v>1</v>
      </c>
    </row>
    <row r="60" spans="1:12" x14ac:dyDescent="0.2">
      <c r="A60">
        <v>9</v>
      </c>
      <c r="B60">
        <v>4</v>
      </c>
      <c r="C60">
        <v>7</v>
      </c>
      <c r="D60">
        <f t="shared" si="1"/>
        <v>-3</v>
      </c>
      <c r="E60">
        <f>IF(WarsAnalysis[[#This Row],[ScoreDiff]]&gt;0,1,0)</f>
        <v>0</v>
      </c>
      <c r="F60">
        <v>0</v>
      </c>
      <c r="G60" t="s">
        <v>11</v>
      </c>
      <c r="H60">
        <v>0</v>
      </c>
      <c r="I60" s="1" t="s">
        <v>29</v>
      </c>
      <c r="J60">
        <v>2</v>
      </c>
      <c r="K60">
        <v>6</v>
      </c>
      <c r="L60">
        <v>1</v>
      </c>
    </row>
    <row r="61" spans="1:12" x14ac:dyDescent="0.2">
      <c r="A61">
        <v>10</v>
      </c>
      <c r="B61">
        <v>14</v>
      </c>
      <c r="C61">
        <v>14</v>
      </c>
      <c r="D61">
        <f t="shared" si="1"/>
        <v>0</v>
      </c>
      <c r="E61">
        <f>IF(WarsAnalysis[[#This Row],[ScoreDiff]]&gt;0,1,0)</f>
        <v>0</v>
      </c>
      <c r="F61">
        <v>0</v>
      </c>
      <c r="G61" t="s">
        <v>11</v>
      </c>
      <c r="H61">
        <v>0</v>
      </c>
      <c r="I61" s="1" t="s">
        <v>30</v>
      </c>
      <c r="J61">
        <v>2</v>
      </c>
      <c r="K61">
        <v>6</v>
      </c>
      <c r="L61">
        <v>1</v>
      </c>
    </row>
    <row r="62" spans="1:12" x14ac:dyDescent="0.2">
      <c r="A62">
        <v>1</v>
      </c>
      <c r="B62">
        <v>4</v>
      </c>
      <c r="C62">
        <v>7</v>
      </c>
      <c r="D62">
        <f t="shared" si="1"/>
        <v>-3</v>
      </c>
      <c r="E62">
        <f>IF(WarsAnalysis[[#This Row],[ScoreDiff]]&gt;0,1,0)</f>
        <v>0</v>
      </c>
      <c r="F62">
        <v>0</v>
      </c>
      <c r="G62" t="s">
        <v>12</v>
      </c>
      <c r="H62">
        <v>0</v>
      </c>
      <c r="I62" s="1" t="s">
        <v>26</v>
      </c>
      <c r="J62">
        <v>1</v>
      </c>
      <c r="K62">
        <v>7</v>
      </c>
      <c r="L62">
        <v>0</v>
      </c>
    </row>
    <row r="63" spans="1:12" x14ac:dyDescent="0.2">
      <c r="A63">
        <v>2</v>
      </c>
      <c r="B63">
        <v>10</v>
      </c>
      <c r="C63">
        <v>7</v>
      </c>
      <c r="D63">
        <f t="shared" si="1"/>
        <v>3</v>
      </c>
      <c r="E63">
        <f>IF(WarsAnalysis[[#This Row],[ScoreDiff]]&gt;0,1,0)</f>
        <v>1</v>
      </c>
      <c r="F63">
        <v>0</v>
      </c>
      <c r="G63" t="s">
        <v>12</v>
      </c>
      <c r="H63">
        <v>0</v>
      </c>
      <c r="I63" s="1" t="s">
        <v>27</v>
      </c>
      <c r="J63">
        <v>1</v>
      </c>
      <c r="K63">
        <v>7</v>
      </c>
      <c r="L63">
        <v>0</v>
      </c>
    </row>
    <row r="64" spans="1:12" x14ac:dyDescent="0.2">
      <c r="A64">
        <v>3</v>
      </c>
      <c r="B64">
        <v>7</v>
      </c>
      <c r="C64">
        <v>5</v>
      </c>
      <c r="D64">
        <f t="shared" si="1"/>
        <v>2</v>
      </c>
      <c r="E64">
        <f>IF(WarsAnalysis[[#This Row],[ScoreDiff]]&gt;0,1,0)</f>
        <v>1</v>
      </c>
      <c r="F64">
        <v>0</v>
      </c>
      <c r="G64" t="s">
        <v>12</v>
      </c>
      <c r="H64">
        <v>0</v>
      </c>
      <c r="I64" s="1" t="s">
        <v>28</v>
      </c>
      <c r="J64">
        <v>1</v>
      </c>
      <c r="K64">
        <v>7</v>
      </c>
      <c r="L64">
        <v>0</v>
      </c>
    </row>
    <row r="65" spans="1:12" x14ac:dyDescent="0.2">
      <c r="A65">
        <v>4</v>
      </c>
      <c r="B65">
        <v>5</v>
      </c>
      <c r="C65">
        <v>8</v>
      </c>
      <c r="D65">
        <f t="shared" si="1"/>
        <v>-3</v>
      </c>
      <c r="E65">
        <f>IF(WarsAnalysis[[#This Row],[ScoreDiff]]&gt;0,1,0)</f>
        <v>0</v>
      </c>
      <c r="F65">
        <v>0</v>
      </c>
      <c r="G65" t="s">
        <v>12</v>
      </c>
      <c r="H65">
        <v>0</v>
      </c>
      <c r="I65" s="1" t="s">
        <v>29</v>
      </c>
      <c r="J65">
        <v>1</v>
      </c>
      <c r="K65">
        <v>7</v>
      </c>
      <c r="L65">
        <v>0</v>
      </c>
    </row>
    <row r="66" spans="1:12" x14ac:dyDescent="0.2">
      <c r="A66">
        <v>5</v>
      </c>
      <c r="B66">
        <v>4</v>
      </c>
      <c r="C66">
        <v>10</v>
      </c>
      <c r="D66">
        <f t="shared" ref="D66:D97" si="2">B66-C66</f>
        <v>-6</v>
      </c>
      <c r="E66">
        <f>IF(WarsAnalysis[[#This Row],[ScoreDiff]]&gt;0,1,0)</f>
        <v>0</v>
      </c>
      <c r="F66">
        <v>0</v>
      </c>
      <c r="G66" t="s">
        <v>12</v>
      </c>
      <c r="H66">
        <v>0</v>
      </c>
      <c r="I66" s="1" t="s">
        <v>30</v>
      </c>
      <c r="J66">
        <v>1</v>
      </c>
      <c r="K66">
        <v>7</v>
      </c>
      <c r="L66">
        <v>0</v>
      </c>
    </row>
    <row r="67" spans="1:12" x14ac:dyDescent="0.2">
      <c r="A67">
        <v>6</v>
      </c>
      <c r="B67">
        <v>3</v>
      </c>
      <c r="C67">
        <v>13</v>
      </c>
      <c r="D67">
        <f t="shared" si="2"/>
        <v>-10</v>
      </c>
      <c r="E67">
        <f>IF(WarsAnalysis[[#This Row],[ScoreDiff]]&gt;0,1,0)</f>
        <v>0</v>
      </c>
      <c r="F67">
        <v>0</v>
      </c>
      <c r="G67" t="s">
        <v>12</v>
      </c>
      <c r="H67">
        <v>0</v>
      </c>
      <c r="I67" s="1" t="s">
        <v>26</v>
      </c>
      <c r="J67">
        <v>2</v>
      </c>
      <c r="K67">
        <v>7</v>
      </c>
      <c r="L67">
        <v>0</v>
      </c>
    </row>
    <row r="68" spans="1:12" x14ac:dyDescent="0.2">
      <c r="A68">
        <v>7</v>
      </c>
      <c r="B68">
        <v>9</v>
      </c>
      <c r="C68">
        <v>12</v>
      </c>
      <c r="D68">
        <f t="shared" si="2"/>
        <v>-3</v>
      </c>
      <c r="E68">
        <f>IF(WarsAnalysis[[#This Row],[ScoreDiff]]&gt;0,1,0)</f>
        <v>0</v>
      </c>
      <c r="F68">
        <v>0</v>
      </c>
      <c r="G68" t="s">
        <v>12</v>
      </c>
      <c r="H68">
        <v>0</v>
      </c>
      <c r="I68" s="1" t="s">
        <v>27</v>
      </c>
      <c r="J68">
        <v>2</v>
      </c>
      <c r="K68">
        <v>7</v>
      </c>
      <c r="L68">
        <v>0</v>
      </c>
    </row>
    <row r="69" spans="1:12" x14ac:dyDescent="0.2">
      <c r="A69">
        <v>8</v>
      </c>
      <c r="B69">
        <v>4</v>
      </c>
      <c r="C69">
        <v>6</v>
      </c>
      <c r="D69">
        <f t="shared" si="2"/>
        <v>-2</v>
      </c>
      <c r="E69">
        <f>IF(WarsAnalysis[[#This Row],[ScoreDiff]]&gt;0,1,0)</f>
        <v>0</v>
      </c>
      <c r="F69">
        <v>0</v>
      </c>
      <c r="G69" t="s">
        <v>12</v>
      </c>
      <c r="H69">
        <v>0</v>
      </c>
      <c r="I69" s="1" t="s">
        <v>28</v>
      </c>
      <c r="J69">
        <v>2</v>
      </c>
      <c r="K69">
        <v>7</v>
      </c>
      <c r="L69">
        <v>0</v>
      </c>
    </row>
    <row r="70" spans="1:12" x14ac:dyDescent="0.2">
      <c r="A70">
        <v>9</v>
      </c>
      <c r="B70">
        <v>16</v>
      </c>
      <c r="C70">
        <v>8</v>
      </c>
      <c r="D70">
        <f t="shared" si="2"/>
        <v>8</v>
      </c>
      <c r="E70">
        <f>IF(WarsAnalysis[[#This Row],[ScoreDiff]]&gt;0,1,0)</f>
        <v>1</v>
      </c>
      <c r="F70">
        <v>0</v>
      </c>
      <c r="G70" t="s">
        <v>12</v>
      </c>
      <c r="H70">
        <v>0</v>
      </c>
      <c r="I70" s="1" t="s">
        <v>29</v>
      </c>
      <c r="J70">
        <v>2</v>
      </c>
      <c r="K70">
        <v>7</v>
      </c>
      <c r="L70">
        <v>0</v>
      </c>
    </row>
    <row r="71" spans="1:12" x14ac:dyDescent="0.2">
      <c r="A71">
        <v>10</v>
      </c>
      <c r="B71">
        <v>17</v>
      </c>
      <c r="C71">
        <v>10</v>
      </c>
      <c r="D71">
        <f t="shared" si="2"/>
        <v>7</v>
      </c>
      <c r="E71">
        <f>IF(WarsAnalysis[[#This Row],[ScoreDiff]]&gt;0,1,0)</f>
        <v>1</v>
      </c>
      <c r="F71">
        <v>0</v>
      </c>
      <c r="G71" t="s">
        <v>12</v>
      </c>
      <c r="H71">
        <v>0</v>
      </c>
      <c r="I71" s="1" t="s">
        <v>30</v>
      </c>
      <c r="J71">
        <v>2</v>
      </c>
      <c r="K71">
        <v>7</v>
      </c>
      <c r="L71">
        <v>0</v>
      </c>
    </row>
    <row r="72" spans="1:12" x14ac:dyDescent="0.2">
      <c r="A72">
        <v>1</v>
      </c>
      <c r="B72">
        <v>5</v>
      </c>
      <c r="C72">
        <v>9</v>
      </c>
      <c r="D72">
        <f t="shared" si="2"/>
        <v>-4</v>
      </c>
      <c r="E72">
        <f>IF(WarsAnalysis[[#This Row],[ScoreDiff]]&gt;0,1,0)</f>
        <v>0</v>
      </c>
      <c r="F72">
        <v>1</v>
      </c>
      <c r="G72" t="s">
        <v>13</v>
      </c>
      <c r="H72">
        <v>0</v>
      </c>
      <c r="I72" s="1" t="s">
        <v>26</v>
      </c>
      <c r="J72">
        <v>1</v>
      </c>
      <c r="K72">
        <v>8</v>
      </c>
      <c r="L72">
        <v>0</v>
      </c>
    </row>
    <row r="73" spans="1:12" x14ac:dyDescent="0.2">
      <c r="A73">
        <v>2</v>
      </c>
      <c r="B73">
        <v>2</v>
      </c>
      <c r="C73">
        <v>4</v>
      </c>
      <c r="D73">
        <f t="shared" si="2"/>
        <v>-2</v>
      </c>
      <c r="E73">
        <f>IF(WarsAnalysis[[#This Row],[ScoreDiff]]&gt;0,1,0)</f>
        <v>0</v>
      </c>
      <c r="F73">
        <v>1</v>
      </c>
      <c r="G73" t="s">
        <v>13</v>
      </c>
      <c r="H73">
        <v>0</v>
      </c>
      <c r="I73" s="1" t="s">
        <v>27</v>
      </c>
      <c r="J73">
        <v>1</v>
      </c>
      <c r="K73">
        <v>8</v>
      </c>
      <c r="L73">
        <v>0</v>
      </c>
    </row>
    <row r="74" spans="1:12" x14ac:dyDescent="0.2">
      <c r="A74">
        <v>3</v>
      </c>
      <c r="B74">
        <v>15</v>
      </c>
      <c r="C74">
        <v>8</v>
      </c>
      <c r="D74">
        <f t="shared" si="2"/>
        <v>7</v>
      </c>
      <c r="E74">
        <f>IF(WarsAnalysis[[#This Row],[ScoreDiff]]&gt;0,1,0)</f>
        <v>1</v>
      </c>
      <c r="F74">
        <v>1</v>
      </c>
      <c r="G74" t="s">
        <v>13</v>
      </c>
      <c r="H74">
        <v>0</v>
      </c>
      <c r="I74" s="1" t="s">
        <v>28</v>
      </c>
      <c r="J74">
        <v>1</v>
      </c>
      <c r="K74">
        <v>8</v>
      </c>
      <c r="L74">
        <v>0</v>
      </c>
    </row>
    <row r="75" spans="1:12" x14ac:dyDescent="0.2">
      <c r="A75">
        <v>4</v>
      </c>
      <c r="B75">
        <v>4</v>
      </c>
      <c r="C75">
        <v>4</v>
      </c>
      <c r="D75">
        <f t="shared" si="2"/>
        <v>0</v>
      </c>
      <c r="E75">
        <f>IF(WarsAnalysis[[#This Row],[ScoreDiff]]&gt;0,1,0)</f>
        <v>0</v>
      </c>
      <c r="F75">
        <v>1</v>
      </c>
      <c r="G75" t="s">
        <v>13</v>
      </c>
      <c r="H75">
        <v>0</v>
      </c>
      <c r="I75" s="1" t="s">
        <v>29</v>
      </c>
      <c r="J75">
        <v>1</v>
      </c>
      <c r="K75">
        <v>8</v>
      </c>
      <c r="L75">
        <v>0</v>
      </c>
    </row>
    <row r="76" spans="1:12" x14ac:dyDescent="0.2">
      <c r="A76">
        <v>5</v>
      </c>
      <c r="B76">
        <v>9</v>
      </c>
      <c r="C76">
        <v>6</v>
      </c>
      <c r="D76">
        <f t="shared" si="2"/>
        <v>3</v>
      </c>
      <c r="E76">
        <f>IF(WarsAnalysis[[#This Row],[ScoreDiff]]&gt;0,1,0)</f>
        <v>1</v>
      </c>
      <c r="F76">
        <v>1</v>
      </c>
      <c r="G76" t="s">
        <v>13</v>
      </c>
      <c r="H76">
        <v>0</v>
      </c>
      <c r="I76" s="1" t="s">
        <v>30</v>
      </c>
      <c r="J76">
        <v>1</v>
      </c>
      <c r="K76">
        <v>8</v>
      </c>
      <c r="L76">
        <v>0</v>
      </c>
    </row>
    <row r="77" spans="1:12" x14ac:dyDescent="0.2">
      <c r="A77">
        <v>6</v>
      </c>
      <c r="B77">
        <v>7</v>
      </c>
      <c r="C77">
        <v>1</v>
      </c>
      <c r="D77">
        <f t="shared" si="2"/>
        <v>6</v>
      </c>
      <c r="E77">
        <f>IF(WarsAnalysis[[#This Row],[ScoreDiff]]&gt;0,1,0)</f>
        <v>1</v>
      </c>
      <c r="F77">
        <v>1</v>
      </c>
      <c r="G77" t="s">
        <v>13</v>
      </c>
      <c r="H77">
        <v>0</v>
      </c>
      <c r="I77" s="1" t="s">
        <v>26</v>
      </c>
      <c r="J77">
        <v>2</v>
      </c>
      <c r="K77">
        <v>8</v>
      </c>
      <c r="L77">
        <v>0</v>
      </c>
    </row>
    <row r="78" spans="1:12" x14ac:dyDescent="0.2">
      <c r="A78">
        <v>7</v>
      </c>
      <c r="B78">
        <v>8</v>
      </c>
      <c r="C78">
        <v>5</v>
      </c>
      <c r="D78">
        <f t="shared" si="2"/>
        <v>3</v>
      </c>
      <c r="E78">
        <f>IF(WarsAnalysis[[#This Row],[ScoreDiff]]&gt;0,1,0)</f>
        <v>1</v>
      </c>
      <c r="F78">
        <v>1</v>
      </c>
      <c r="G78" t="s">
        <v>13</v>
      </c>
      <c r="H78">
        <v>0</v>
      </c>
      <c r="I78" s="1" t="s">
        <v>27</v>
      </c>
      <c r="J78">
        <v>2</v>
      </c>
      <c r="K78">
        <v>8</v>
      </c>
      <c r="L78">
        <v>0</v>
      </c>
    </row>
    <row r="79" spans="1:12" x14ac:dyDescent="0.2">
      <c r="A79">
        <v>8</v>
      </c>
      <c r="B79">
        <v>7</v>
      </c>
      <c r="C79">
        <v>6</v>
      </c>
      <c r="D79">
        <f t="shared" si="2"/>
        <v>1</v>
      </c>
      <c r="E79">
        <f>IF(WarsAnalysis[[#This Row],[ScoreDiff]]&gt;0,1,0)</f>
        <v>1</v>
      </c>
      <c r="F79">
        <v>1</v>
      </c>
      <c r="G79" t="s">
        <v>13</v>
      </c>
      <c r="H79">
        <v>0</v>
      </c>
      <c r="I79" s="1" t="s">
        <v>28</v>
      </c>
      <c r="J79">
        <v>2</v>
      </c>
      <c r="K79">
        <v>8</v>
      </c>
      <c r="L79">
        <v>0</v>
      </c>
    </row>
    <row r="80" spans="1:12" x14ac:dyDescent="0.2">
      <c r="A80">
        <v>9</v>
      </c>
      <c r="B80">
        <v>6</v>
      </c>
      <c r="C80">
        <v>6</v>
      </c>
      <c r="D80">
        <f t="shared" si="2"/>
        <v>0</v>
      </c>
      <c r="E80">
        <f>IF(WarsAnalysis[[#This Row],[ScoreDiff]]&gt;0,1,0)</f>
        <v>0</v>
      </c>
      <c r="F80">
        <v>1</v>
      </c>
      <c r="G80" t="s">
        <v>13</v>
      </c>
      <c r="H80">
        <v>0</v>
      </c>
      <c r="I80" s="1" t="s">
        <v>29</v>
      </c>
      <c r="J80">
        <v>2</v>
      </c>
      <c r="K80">
        <v>8</v>
      </c>
      <c r="L80">
        <v>0</v>
      </c>
    </row>
    <row r="81" spans="1:12" x14ac:dyDescent="0.2">
      <c r="A81">
        <v>10</v>
      </c>
      <c r="B81">
        <v>7</v>
      </c>
      <c r="C81">
        <v>9</v>
      </c>
      <c r="D81">
        <f t="shared" si="2"/>
        <v>-2</v>
      </c>
      <c r="E81">
        <f>IF(WarsAnalysis[[#This Row],[ScoreDiff]]&gt;0,1,0)</f>
        <v>0</v>
      </c>
      <c r="F81">
        <v>1</v>
      </c>
      <c r="G81" t="s">
        <v>13</v>
      </c>
      <c r="H81">
        <v>0</v>
      </c>
      <c r="I81" s="1" t="s">
        <v>30</v>
      </c>
      <c r="J81">
        <v>2</v>
      </c>
      <c r="K81">
        <v>8</v>
      </c>
      <c r="L81">
        <v>0</v>
      </c>
    </row>
    <row r="82" spans="1:12" x14ac:dyDescent="0.2">
      <c r="A82">
        <v>1</v>
      </c>
      <c r="B82">
        <v>9</v>
      </c>
      <c r="C82">
        <v>11</v>
      </c>
      <c r="D82">
        <f t="shared" si="2"/>
        <v>-2</v>
      </c>
      <c r="E82">
        <f>IF(WarsAnalysis[[#This Row],[ScoreDiff]]&gt;0,1,0)</f>
        <v>0</v>
      </c>
      <c r="F82">
        <v>1</v>
      </c>
      <c r="G82" t="s">
        <v>14</v>
      </c>
      <c r="H82">
        <v>0</v>
      </c>
      <c r="I82" s="1" t="s">
        <v>26</v>
      </c>
      <c r="J82">
        <v>1</v>
      </c>
      <c r="K82">
        <v>9</v>
      </c>
      <c r="L82">
        <v>0</v>
      </c>
    </row>
    <row r="83" spans="1:12" x14ac:dyDescent="0.2">
      <c r="A83">
        <v>2</v>
      </c>
      <c r="B83">
        <v>8</v>
      </c>
      <c r="C83">
        <v>3</v>
      </c>
      <c r="D83">
        <f t="shared" si="2"/>
        <v>5</v>
      </c>
      <c r="E83">
        <f>IF(WarsAnalysis[[#This Row],[ScoreDiff]]&gt;0,1,0)</f>
        <v>1</v>
      </c>
      <c r="F83">
        <v>1</v>
      </c>
      <c r="G83" t="s">
        <v>14</v>
      </c>
      <c r="H83">
        <v>0</v>
      </c>
      <c r="I83" s="1" t="s">
        <v>27</v>
      </c>
      <c r="J83">
        <v>1</v>
      </c>
      <c r="K83">
        <v>9</v>
      </c>
      <c r="L83">
        <v>0</v>
      </c>
    </row>
    <row r="84" spans="1:12" x14ac:dyDescent="0.2">
      <c r="A84">
        <v>3</v>
      </c>
      <c r="B84">
        <v>4</v>
      </c>
      <c r="C84">
        <v>8</v>
      </c>
      <c r="D84">
        <f t="shared" si="2"/>
        <v>-4</v>
      </c>
      <c r="E84">
        <f>IF(WarsAnalysis[[#This Row],[ScoreDiff]]&gt;0,1,0)</f>
        <v>0</v>
      </c>
      <c r="F84">
        <v>1</v>
      </c>
      <c r="G84" t="s">
        <v>14</v>
      </c>
      <c r="H84">
        <v>0</v>
      </c>
      <c r="I84" s="1" t="s">
        <v>28</v>
      </c>
      <c r="J84">
        <v>1</v>
      </c>
      <c r="K84">
        <v>9</v>
      </c>
      <c r="L84">
        <v>0</v>
      </c>
    </row>
    <row r="85" spans="1:12" x14ac:dyDescent="0.2">
      <c r="A85">
        <v>4</v>
      </c>
      <c r="B85">
        <v>10</v>
      </c>
      <c r="C85">
        <v>10</v>
      </c>
      <c r="D85">
        <f t="shared" si="2"/>
        <v>0</v>
      </c>
      <c r="E85">
        <f>IF(WarsAnalysis[[#This Row],[ScoreDiff]]&gt;0,1,0)</f>
        <v>0</v>
      </c>
      <c r="F85">
        <v>1</v>
      </c>
      <c r="G85" t="s">
        <v>14</v>
      </c>
      <c r="H85">
        <v>0</v>
      </c>
      <c r="I85" s="1" t="s">
        <v>29</v>
      </c>
      <c r="J85">
        <v>1</v>
      </c>
      <c r="K85">
        <v>9</v>
      </c>
      <c r="L85">
        <v>0</v>
      </c>
    </row>
    <row r="86" spans="1:12" x14ac:dyDescent="0.2">
      <c r="A86">
        <v>5</v>
      </c>
      <c r="B86">
        <v>4</v>
      </c>
      <c r="C86">
        <v>6</v>
      </c>
      <c r="D86">
        <f t="shared" si="2"/>
        <v>-2</v>
      </c>
      <c r="E86">
        <f>IF(WarsAnalysis[[#This Row],[ScoreDiff]]&gt;0,1,0)</f>
        <v>0</v>
      </c>
      <c r="F86">
        <v>1</v>
      </c>
      <c r="G86" t="s">
        <v>14</v>
      </c>
      <c r="H86">
        <v>0</v>
      </c>
      <c r="I86" s="1" t="s">
        <v>30</v>
      </c>
      <c r="J86">
        <v>1</v>
      </c>
      <c r="K86">
        <v>9</v>
      </c>
      <c r="L86">
        <v>0</v>
      </c>
    </row>
    <row r="87" spans="1:12" x14ac:dyDescent="0.2">
      <c r="A87">
        <v>6</v>
      </c>
      <c r="B87">
        <v>7</v>
      </c>
      <c r="C87">
        <v>6</v>
      </c>
      <c r="D87">
        <f t="shared" si="2"/>
        <v>1</v>
      </c>
      <c r="E87">
        <f>IF(WarsAnalysis[[#This Row],[ScoreDiff]]&gt;0,1,0)</f>
        <v>1</v>
      </c>
      <c r="F87">
        <v>1</v>
      </c>
      <c r="G87" t="s">
        <v>14</v>
      </c>
      <c r="H87">
        <v>0</v>
      </c>
      <c r="I87" s="1" t="s">
        <v>26</v>
      </c>
      <c r="J87">
        <v>2</v>
      </c>
      <c r="K87">
        <v>9</v>
      </c>
      <c r="L87">
        <v>0</v>
      </c>
    </row>
    <row r="88" spans="1:12" x14ac:dyDescent="0.2">
      <c r="A88">
        <v>7</v>
      </c>
      <c r="B88">
        <v>7</v>
      </c>
      <c r="C88">
        <v>10</v>
      </c>
      <c r="D88">
        <f t="shared" si="2"/>
        <v>-3</v>
      </c>
      <c r="E88">
        <f>IF(WarsAnalysis[[#This Row],[ScoreDiff]]&gt;0,1,0)</f>
        <v>0</v>
      </c>
      <c r="F88">
        <v>1</v>
      </c>
      <c r="G88" t="s">
        <v>14</v>
      </c>
      <c r="H88">
        <v>0</v>
      </c>
      <c r="I88" s="1" t="s">
        <v>27</v>
      </c>
      <c r="J88">
        <v>2</v>
      </c>
      <c r="K88">
        <v>9</v>
      </c>
      <c r="L88">
        <v>0</v>
      </c>
    </row>
    <row r="89" spans="1:12" x14ac:dyDescent="0.2">
      <c r="A89">
        <v>8</v>
      </c>
      <c r="B89">
        <v>4</v>
      </c>
      <c r="C89">
        <v>3</v>
      </c>
      <c r="D89">
        <f t="shared" si="2"/>
        <v>1</v>
      </c>
      <c r="E89">
        <f>IF(WarsAnalysis[[#This Row],[ScoreDiff]]&gt;0,1,0)</f>
        <v>1</v>
      </c>
      <c r="F89">
        <v>1</v>
      </c>
      <c r="G89" t="s">
        <v>14</v>
      </c>
      <c r="H89">
        <v>0</v>
      </c>
      <c r="I89" s="1" t="s">
        <v>28</v>
      </c>
      <c r="J89">
        <v>2</v>
      </c>
      <c r="K89">
        <v>9</v>
      </c>
      <c r="L89">
        <v>0</v>
      </c>
    </row>
    <row r="90" spans="1:12" x14ac:dyDescent="0.2">
      <c r="A90">
        <v>9</v>
      </c>
      <c r="B90">
        <v>13</v>
      </c>
      <c r="C90">
        <v>3</v>
      </c>
      <c r="D90">
        <f t="shared" si="2"/>
        <v>10</v>
      </c>
      <c r="E90">
        <f>IF(WarsAnalysis[[#This Row],[ScoreDiff]]&gt;0,1,0)</f>
        <v>1</v>
      </c>
      <c r="F90">
        <v>1</v>
      </c>
      <c r="G90" t="s">
        <v>14</v>
      </c>
      <c r="H90">
        <v>0</v>
      </c>
      <c r="I90" s="1" t="s">
        <v>29</v>
      </c>
      <c r="J90">
        <v>2</v>
      </c>
      <c r="K90">
        <v>9</v>
      </c>
      <c r="L90">
        <v>0</v>
      </c>
    </row>
    <row r="91" spans="1:12" x14ac:dyDescent="0.2">
      <c r="A91">
        <v>10</v>
      </c>
      <c r="B91">
        <v>8</v>
      </c>
      <c r="C91">
        <v>9</v>
      </c>
      <c r="D91">
        <f t="shared" si="2"/>
        <v>-1</v>
      </c>
      <c r="E91">
        <f>IF(WarsAnalysis[[#This Row],[ScoreDiff]]&gt;0,1,0)</f>
        <v>0</v>
      </c>
      <c r="F91">
        <v>1</v>
      </c>
      <c r="G91" t="s">
        <v>14</v>
      </c>
      <c r="H91">
        <v>0</v>
      </c>
      <c r="I91" s="1" t="s">
        <v>30</v>
      </c>
      <c r="J91">
        <v>2</v>
      </c>
      <c r="K91">
        <v>9</v>
      </c>
      <c r="L91">
        <v>0</v>
      </c>
    </row>
    <row r="92" spans="1:12" x14ac:dyDescent="0.2">
      <c r="A92">
        <v>1</v>
      </c>
      <c r="B92">
        <v>9</v>
      </c>
      <c r="C92">
        <v>12</v>
      </c>
      <c r="D92">
        <f t="shared" si="2"/>
        <v>-3</v>
      </c>
      <c r="E92">
        <f>IF(WarsAnalysis[[#This Row],[ScoreDiff]]&gt;0,1,0)</f>
        <v>0</v>
      </c>
      <c r="F92">
        <v>1</v>
      </c>
      <c r="G92" t="s">
        <v>15</v>
      </c>
      <c r="H92">
        <v>0</v>
      </c>
      <c r="I92" s="1" t="s">
        <v>26</v>
      </c>
      <c r="J92">
        <v>1</v>
      </c>
      <c r="K92">
        <v>10</v>
      </c>
      <c r="L92">
        <v>1</v>
      </c>
    </row>
    <row r="93" spans="1:12" x14ac:dyDescent="0.2">
      <c r="A93">
        <v>2</v>
      </c>
      <c r="B93">
        <v>4</v>
      </c>
      <c r="C93">
        <v>0</v>
      </c>
      <c r="D93">
        <f t="shared" si="2"/>
        <v>4</v>
      </c>
      <c r="E93">
        <f>IF(WarsAnalysis[[#This Row],[ScoreDiff]]&gt;0,1,0)</f>
        <v>1</v>
      </c>
      <c r="F93">
        <v>1</v>
      </c>
      <c r="G93" t="s">
        <v>15</v>
      </c>
      <c r="H93">
        <v>0</v>
      </c>
      <c r="I93" s="1" t="s">
        <v>27</v>
      </c>
      <c r="J93">
        <v>1</v>
      </c>
      <c r="K93">
        <v>10</v>
      </c>
      <c r="L93">
        <v>1</v>
      </c>
    </row>
    <row r="94" spans="1:12" x14ac:dyDescent="0.2">
      <c r="A94">
        <v>3</v>
      </c>
      <c r="B94">
        <v>14</v>
      </c>
      <c r="C94">
        <v>2</v>
      </c>
      <c r="D94">
        <f t="shared" si="2"/>
        <v>12</v>
      </c>
      <c r="E94">
        <f>IF(WarsAnalysis[[#This Row],[ScoreDiff]]&gt;0,1,0)</f>
        <v>1</v>
      </c>
      <c r="F94">
        <v>1</v>
      </c>
      <c r="G94" t="s">
        <v>15</v>
      </c>
      <c r="H94">
        <v>0</v>
      </c>
      <c r="I94" s="1" t="s">
        <v>28</v>
      </c>
      <c r="J94">
        <v>1</v>
      </c>
      <c r="K94">
        <v>10</v>
      </c>
      <c r="L94">
        <v>1</v>
      </c>
    </row>
    <row r="95" spans="1:12" x14ac:dyDescent="0.2">
      <c r="A95">
        <v>4</v>
      </c>
      <c r="B95">
        <v>9</v>
      </c>
      <c r="C95">
        <v>8</v>
      </c>
      <c r="D95">
        <f t="shared" si="2"/>
        <v>1</v>
      </c>
      <c r="E95">
        <f>IF(WarsAnalysis[[#This Row],[ScoreDiff]]&gt;0,1,0)</f>
        <v>1</v>
      </c>
      <c r="F95">
        <v>1</v>
      </c>
      <c r="G95" t="s">
        <v>15</v>
      </c>
      <c r="H95">
        <v>0</v>
      </c>
      <c r="I95" s="1" t="s">
        <v>29</v>
      </c>
      <c r="J95">
        <v>1</v>
      </c>
      <c r="K95">
        <v>10</v>
      </c>
      <c r="L95">
        <v>1</v>
      </c>
    </row>
    <row r="96" spans="1:12" x14ac:dyDescent="0.2">
      <c r="A96">
        <v>5</v>
      </c>
      <c r="B96">
        <v>9</v>
      </c>
      <c r="C96">
        <v>8</v>
      </c>
      <c r="D96">
        <f t="shared" si="2"/>
        <v>1</v>
      </c>
      <c r="E96">
        <f>IF(WarsAnalysis[[#This Row],[ScoreDiff]]&gt;0,1,0)</f>
        <v>1</v>
      </c>
      <c r="F96">
        <v>1</v>
      </c>
      <c r="G96" t="s">
        <v>15</v>
      </c>
      <c r="H96">
        <v>0</v>
      </c>
      <c r="I96" s="1" t="s">
        <v>30</v>
      </c>
      <c r="J96">
        <v>1</v>
      </c>
      <c r="K96">
        <v>10</v>
      </c>
      <c r="L96">
        <v>1</v>
      </c>
    </row>
    <row r="97" spans="1:12" x14ac:dyDescent="0.2">
      <c r="A97">
        <v>6</v>
      </c>
      <c r="B97">
        <v>11</v>
      </c>
      <c r="C97">
        <v>9</v>
      </c>
      <c r="D97">
        <f t="shared" si="2"/>
        <v>2</v>
      </c>
      <c r="E97">
        <f>IF(WarsAnalysis[[#This Row],[ScoreDiff]]&gt;0,1,0)</f>
        <v>1</v>
      </c>
      <c r="F97">
        <v>1</v>
      </c>
      <c r="G97" t="s">
        <v>15</v>
      </c>
      <c r="H97">
        <v>0</v>
      </c>
      <c r="I97" s="1" t="s">
        <v>26</v>
      </c>
      <c r="J97">
        <v>2</v>
      </c>
      <c r="K97">
        <v>10</v>
      </c>
      <c r="L97">
        <v>1</v>
      </c>
    </row>
    <row r="98" spans="1:12" x14ac:dyDescent="0.2">
      <c r="A98">
        <v>7</v>
      </c>
      <c r="B98">
        <v>10</v>
      </c>
      <c r="C98">
        <v>3</v>
      </c>
      <c r="D98">
        <f t="shared" ref="D98:D129" si="3">B98-C98</f>
        <v>7</v>
      </c>
      <c r="E98">
        <f>IF(WarsAnalysis[[#This Row],[ScoreDiff]]&gt;0,1,0)</f>
        <v>1</v>
      </c>
      <c r="F98">
        <v>1</v>
      </c>
      <c r="G98" t="s">
        <v>15</v>
      </c>
      <c r="H98">
        <v>0</v>
      </c>
      <c r="I98" s="1" t="s">
        <v>27</v>
      </c>
      <c r="J98">
        <v>2</v>
      </c>
      <c r="K98">
        <v>10</v>
      </c>
      <c r="L98">
        <v>1</v>
      </c>
    </row>
    <row r="99" spans="1:12" x14ac:dyDescent="0.2">
      <c r="A99">
        <v>8</v>
      </c>
      <c r="B99">
        <v>18</v>
      </c>
      <c r="C99">
        <v>9</v>
      </c>
      <c r="D99">
        <f t="shared" si="3"/>
        <v>9</v>
      </c>
      <c r="E99">
        <f>IF(WarsAnalysis[[#This Row],[ScoreDiff]]&gt;0,1,0)</f>
        <v>1</v>
      </c>
      <c r="F99">
        <v>1</v>
      </c>
      <c r="G99" t="s">
        <v>15</v>
      </c>
      <c r="H99">
        <v>0</v>
      </c>
      <c r="I99" s="1" t="s">
        <v>28</v>
      </c>
      <c r="J99">
        <v>2</v>
      </c>
      <c r="K99">
        <v>10</v>
      </c>
      <c r="L99">
        <v>1</v>
      </c>
    </row>
    <row r="100" spans="1:12" x14ac:dyDescent="0.2">
      <c r="A100">
        <v>9</v>
      </c>
      <c r="B100">
        <v>2</v>
      </c>
      <c r="C100">
        <v>0</v>
      </c>
      <c r="D100">
        <f t="shared" si="3"/>
        <v>2</v>
      </c>
      <c r="E100">
        <f>IF(WarsAnalysis[[#This Row],[ScoreDiff]]&gt;0,1,0)</f>
        <v>1</v>
      </c>
      <c r="F100">
        <v>1</v>
      </c>
      <c r="G100" t="s">
        <v>15</v>
      </c>
      <c r="H100">
        <v>0</v>
      </c>
      <c r="I100" s="1" t="s">
        <v>29</v>
      </c>
      <c r="J100">
        <v>2</v>
      </c>
      <c r="K100">
        <v>10</v>
      </c>
      <c r="L100">
        <v>1</v>
      </c>
    </row>
    <row r="101" spans="1:12" x14ac:dyDescent="0.2">
      <c r="A101">
        <v>10</v>
      </c>
      <c r="B101">
        <v>13</v>
      </c>
      <c r="C101">
        <v>6</v>
      </c>
      <c r="D101">
        <f t="shared" si="3"/>
        <v>7</v>
      </c>
      <c r="E101">
        <f>IF(WarsAnalysis[[#This Row],[ScoreDiff]]&gt;0,1,0)</f>
        <v>1</v>
      </c>
      <c r="F101">
        <v>1</v>
      </c>
      <c r="G101" t="s">
        <v>15</v>
      </c>
      <c r="H101">
        <v>0</v>
      </c>
      <c r="I101" s="1" t="s">
        <v>30</v>
      </c>
      <c r="J101">
        <v>2</v>
      </c>
      <c r="K101">
        <v>10</v>
      </c>
      <c r="L101">
        <v>1</v>
      </c>
    </row>
    <row r="102" spans="1:12" x14ac:dyDescent="0.2">
      <c r="A102">
        <v>1</v>
      </c>
      <c r="B102">
        <v>7</v>
      </c>
      <c r="C102">
        <v>13</v>
      </c>
      <c r="D102">
        <f t="shared" si="3"/>
        <v>-6</v>
      </c>
      <c r="E102">
        <f>IF(WarsAnalysis[[#This Row],[ScoreDiff]]&gt;0,1,0)</f>
        <v>0</v>
      </c>
      <c r="F102">
        <v>0</v>
      </c>
      <c r="G102" t="s">
        <v>16</v>
      </c>
      <c r="H102">
        <v>0</v>
      </c>
      <c r="I102" s="1" t="s">
        <v>26</v>
      </c>
      <c r="J102">
        <v>1</v>
      </c>
      <c r="K102">
        <v>11</v>
      </c>
      <c r="L102">
        <v>0</v>
      </c>
    </row>
    <row r="103" spans="1:12" x14ac:dyDescent="0.2">
      <c r="A103">
        <v>2</v>
      </c>
      <c r="B103">
        <v>12</v>
      </c>
      <c r="C103">
        <v>19</v>
      </c>
      <c r="D103">
        <f t="shared" si="3"/>
        <v>-7</v>
      </c>
      <c r="E103">
        <f>IF(WarsAnalysis[[#This Row],[ScoreDiff]]&gt;0,1,0)</f>
        <v>0</v>
      </c>
      <c r="F103">
        <v>0</v>
      </c>
      <c r="G103" t="s">
        <v>16</v>
      </c>
      <c r="H103">
        <v>0</v>
      </c>
      <c r="I103" s="1" t="s">
        <v>27</v>
      </c>
      <c r="J103">
        <v>1</v>
      </c>
      <c r="K103">
        <v>11</v>
      </c>
      <c r="L103">
        <v>0</v>
      </c>
    </row>
    <row r="104" spans="1:12" x14ac:dyDescent="0.2">
      <c r="A104">
        <v>3</v>
      </c>
      <c r="B104">
        <v>0</v>
      </c>
      <c r="C104">
        <v>0</v>
      </c>
      <c r="D104">
        <f t="shared" si="3"/>
        <v>0</v>
      </c>
      <c r="E104">
        <f>IF(WarsAnalysis[[#This Row],[ScoreDiff]]&gt;0,1,0)</f>
        <v>0</v>
      </c>
      <c r="F104">
        <v>0</v>
      </c>
      <c r="G104" t="s">
        <v>16</v>
      </c>
      <c r="H104">
        <v>0</v>
      </c>
      <c r="I104" s="1" t="s">
        <v>28</v>
      </c>
      <c r="J104">
        <v>1</v>
      </c>
      <c r="K104">
        <v>11</v>
      </c>
      <c r="L104">
        <v>0</v>
      </c>
    </row>
    <row r="105" spans="1:12" x14ac:dyDescent="0.2">
      <c r="A105">
        <v>4</v>
      </c>
      <c r="B105">
        <v>8</v>
      </c>
      <c r="C105">
        <v>7</v>
      </c>
      <c r="D105">
        <f t="shared" si="3"/>
        <v>1</v>
      </c>
      <c r="E105">
        <f>IF(WarsAnalysis[[#This Row],[ScoreDiff]]&gt;0,1,0)</f>
        <v>1</v>
      </c>
      <c r="F105">
        <v>0</v>
      </c>
      <c r="G105" t="s">
        <v>16</v>
      </c>
      <c r="H105">
        <v>0</v>
      </c>
      <c r="I105" s="1" t="s">
        <v>29</v>
      </c>
      <c r="J105">
        <v>1</v>
      </c>
      <c r="K105">
        <v>11</v>
      </c>
      <c r="L105">
        <v>0</v>
      </c>
    </row>
    <row r="106" spans="1:12" x14ac:dyDescent="0.2">
      <c r="A106">
        <v>5</v>
      </c>
      <c r="B106">
        <v>7</v>
      </c>
      <c r="C106">
        <v>8</v>
      </c>
      <c r="D106">
        <f t="shared" si="3"/>
        <v>-1</v>
      </c>
      <c r="E106">
        <f>IF(WarsAnalysis[[#This Row],[ScoreDiff]]&gt;0,1,0)</f>
        <v>0</v>
      </c>
      <c r="F106">
        <v>0</v>
      </c>
      <c r="G106" t="s">
        <v>16</v>
      </c>
      <c r="H106">
        <v>0</v>
      </c>
      <c r="I106" s="1" t="s">
        <v>30</v>
      </c>
      <c r="J106">
        <v>1</v>
      </c>
      <c r="K106">
        <v>11</v>
      </c>
      <c r="L106">
        <v>0</v>
      </c>
    </row>
    <row r="107" spans="1:12" x14ac:dyDescent="0.2">
      <c r="A107">
        <v>6</v>
      </c>
      <c r="B107">
        <v>6</v>
      </c>
      <c r="C107">
        <v>8</v>
      </c>
      <c r="D107">
        <f t="shared" si="3"/>
        <v>-2</v>
      </c>
      <c r="E107">
        <f>IF(WarsAnalysis[[#This Row],[ScoreDiff]]&gt;0,1,0)</f>
        <v>0</v>
      </c>
      <c r="F107">
        <v>0</v>
      </c>
      <c r="G107" t="s">
        <v>16</v>
      </c>
      <c r="H107">
        <v>0</v>
      </c>
      <c r="I107" s="1" t="s">
        <v>26</v>
      </c>
      <c r="J107">
        <v>2</v>
      </c>
      <c r="K107">
        <v>11</v>
      </c>
      <c r="L107">
        <v>0</v>
      </c>
    </row>
    <row r="108" spans="1:12" x14ac:dyDescent="0.2">
      <c r="A108">
        <v>7</v>
      </c>
      <c r="B108">
        <v>5</v>
      </c>
      <c r="C108">
        <v>7</v>
      </c>
      <c r="D108">
        <f t="shared" si="3"/>
        <v>-2</v>
      </c>
      <c r="E108">
        <f>IF(WarsAnalysis[[#This Row],[ScoreDiff]]&gt;0,1,0)</f>
        <v>0</v>
      </c>
      <c r="F108">
        <v>0</v>
      </c>
      <c r="G108" t="s">
        <v>16</v>
      </c>
      <c r="H108">
        <v>0</v>
      </c>
      <c r="I108" s="1" t="s">
        <v>27</v>
      </c>
      <c r="J108">
        <v>2</v>
      </c>
      <c r="K108">
        <v>11</v>
      </c>
      <c r="L108">
        <v>0</v>
      </c>
    </row>
    <row r="109" spans="1:12" x14ac:dyDescent="0.2">
      <c r="A109">
        <v>8</v>
      </c>
      <c r="B109">
        <v>8</v>
      </c>
      <c r="C109">
        <v>12</v>
      </c>
      <c r="D109">
        <f t="shared" si="3"/>
        <v>-4</v>
      </c>
      <c r="E109">
        <f>IF(WarsAnalysis[[#This Row],[ScoreDiff]]&gt;0,1,0)</f>
        <v>0</v>
      </c>
      <c r="F109">
        <v>0</v>
      </c>
      <c r="G109" t="s">
        <v>16</v>
      </c>
      <c r="H109">
        <v>0</v>
      </c>
      <c r="I109" s="1" t="s">
        <v>28</v>
      </c>
      <c r="J109">
        <v>2</v>
      </c>
      <c r="K109">
        <v>11</v>
      </c>
      <c r="L109">
        <v>0</v>
      </c>
    </row>
    <row r="110" spans="1:12" x14ac:dyDescent="0.2">
      <c r="A110">
        <v>9</v>
      </c>
      <c r="B110">
        <v>11</v>
      </c>
      <c r="C110">
        <v>2</v>
      </c>
      <c r="D110">
        <f t="shared" si="3"/>
        <v>9</v>
      </c>
      <c r="E110">
        <f>IF(WarsAnalysis[[#This Row],[ScoreDiff]]&gt;0,1,0)</f>
        <v>1</v>
      </c>
      <c r="F110">
        <v>0</v>
      </c>
      <c r="G110" t="s">
        <v>16</v>
      </c>
      <c r="H110">
        <v>0</v>
      </c>
      <c r="I110" s="1" t="s">
        <v>29</v>
      </c>
      <c r="J110">
        <v>2</v>
      </c>
      <c r="K110">
        <v>11</v>
      </c>
      <c r="L110">
        <v>0</v>
      </c>
    </row>
    <row r="111" spans="1:12" x14ac:dyDescent="0.2">
      <c r="A111">
        <v>10</v>
      </c>
      <c r="B111">
        <v>4</v>
      </c>
      <c r="C111">
        <v>5</v>
      </c>
      <c r="D111">
        <f t="shared" si="3"/>
        <v>-1</v>
      </c>
      <c r="E111">
        <f>IF(WarsAnalysis[[#This Row],[ScoreDiff]]&gt;0,1,0)</f>
        <v>0</v>
      </c>
      <c r="F111">
        <v>0</v>
      </c>
      <c r="G111" t="s">
        <v>16</v>
      </c>
      <c r="H111">
        <v>0</v>
      </c>
      <c r="I111" s="1" t="s">
        <v>30</v>
      </c>
      <c r="J111">
        <v>2</v>
      </c>
      <c r="K111">
        <v>11</v>
      </c>
      <c r="L111">
        <v>0</v>
      </c>
    </row>
    <row r="112" spans="1:12" x14ac:dyDescent="0.2">
      <c r="A112">
        <v>1</v>
      </c>
      <c r="B112">
        <v>12</v>
      </c>
      <c r="C112">
        <v>13</v>
      </c>
      <c r="D112">
        <f t="shared" si="3"/>
        <v>-1</v>
      </c>
      <c r="E112">
        <f>IF(WarsAnalysis[[#This Row],[ScoreDiff]]&gt;0,1,0)</f>
        <v>0</v>
      </c>
      <c r="F112">
        <v>0</v>
      </c>
      <c r="G112" t="s">
        <v>17</v>
      </c>
      <c r="H112">
        <v>0</v>
      </c>
      <c r="I112" s="1" t="s">
        <v>26</v>
      </c>
      <c r="J112">
        <v>1</v>
      </c>
      <c r="K112">
        <v>12</v>
      </c>
      <c r="L112">
        <v>1</v>
      </c>
    </row>
    <row r="113" spans="1:12" x14ac:dyDescent="0.2">
      <c r="A113">
        <v>2</v>
      </c>
      <c r="B113">
        <v>6</v>
      </c>
      <c r="C113">
        <v>5</v>
      </c>
      <c r="D113">
        <f t="shared" si="3"/>
        <v>1</v>
      </c>
      <c r="E113">
        <f>IF(WarsAnalysis[[#This Row],[ScoreDiff]]&gt;0,1,0)</f>
        <v>1</v>
      </c>
      <c r="F113">
        <v>0</v>
      </c>
      <c r="G113" t="s">
        <v>17</v>
      </c>
      <c r="H113">
        <v>0</v>
      </c>
      <c r="I113" s="1" t="s">
        <v>27</v>
      </c>
      <c r="J113">
        <v>1</v>
      </c>
      <c r="K113">
        <v>12</v>
      </c>
      <c r="L113">
        <v>1</v>
      </c>
    </row>
    <row r="114" spans="1:12" x14ac:dyDescent="0.2">
      <c r="A114">
        <v>3</v>
      </c>
      <c r="B114">
        <v>8</v>
      </c>
      <c r="C114">
        <v>9</v>
      </c>
      <c r="D114">
        <f t="shared" si="3"/>
        <v>-1</v>
      </c>
      <c r="E114">
        <f>IF(WarsAnalysis[[#This Row],[ScoreDiff]]&gt;0,1,0)</f>
        <v>0</v>
      </c>
      <c r="F114">
        <v>0</v>
      </c>
      <c r="G114" t="s">
        <v>17</v>
      </c>
      <c r="H114">
        <v>0</v>
      </c>
      <c r="I114" s="1" t="s">
        <v>28</v>
      </c>
      <c r="J114">
        <v>1</v>
      </c>
      <c r="K114">
        <v>12</v>
      </c>
      <c r="L114">
        <v>1</v>
      </c>
    </row>
    <row r="115" spans="1:12" x14ac:dyDescent="0.2">
      <c r="A115">
        <v>4</v>
      </c>
      <c r="B115">
        <v>4</v>
      </c>
      <c r="C115">
        <v>13</v>
      </c>
      <c r="D115">
        <f t="shared" si="3"/>
        <v>-9</v>
      </c>
      <c r="E115">
        <f>IF(WarsAnalysis[[#This Row],[ScoreDiff]]&gt;0,1,0)</f>
        <v>0</v>
      </c>
      <c r="F115">
        <v>0</v>
      </c>
      <c r="G115" t="s">
        <v>17</v>
      </c>
      <c r="H115">
        <v>0</v>
      </c>
      <c r="I115" s="1" t="s">
        <v>29</v>
      </c>
      <c r="J115">
        <v>1</v>
      </c>
      <c r="K115">
        <v>12</v>
      </c>
      <c r="L115">
        <v>1</v>
      </c>
    </row>
    <row r="116" spans="1:12" x14ac:dyDescent="0.2">
      <c r="A116">
        <v>5</v>
      </c>
      <c r="B116">
        <v>8</v>
      </c>
      <c r="C116">
        <v>4</v>
      </c>
      <c r="D116">
        <f t="shared" si="3"/>
        <v>4</v>
      </c>
      <c r="E116">
        <f>IF(WarsAnalysis[[#This Row],[ScoreDiff]]&gt;0,1,0)</f>
        <v>1</v>
      </c>
      <c r="F116">
        <v>0</v>
      </c>
      <c r="G116" t="s">
        <v>17</v>
      </c>
      <c r="H116">
        <v>0</v>
      </c>
      <c r="I116" s="1" t="s">
        <v>30</v>
      </c>
      <c r="J116">
        <v>1</v>
      </c>
      <c r="K116">
        <v>12</v>
      </c>
      <c r="L116">
        <v>1</v>
      </c>
    </row>
    <row r="117" spans="1:12" x14ac:dyDescent="0.2">
      <c r="A117">
        <v>6</v>
      </c>
      <c r="B117">
        <v>7</v>
      </c>
      <c r="C117">
        <v>14</v>
      </c>
      <c r="D117">
        <f t="shared" si="3"/>
        <v>-7</v>
      </c>
      <c r="E117">
        <f>IF(WarsAnalysis[[#This Row],[ScoreDiff]]&gt;0,1,0)</f>
        <v>0</v>
      </c>
      <c r="F117">
        <v>0</v>
      </c>
      <c r="G117" t="s">
        <v>17</v>
      </c>
      <c r="H117">
        <v>0</v>
      </c>
      <c r="I117" s="1" t="s">
        <v>26</v>
      </c>
      <c r="J117">
        <v>2</v>
      </c>
      <c r="K117">
        <v>12</v>
      </c>
      <c r="L117">
        <v>1</v>
      </c>
    </row>
    <row r="118" spans="1:12" x14ac:dyDescent="0.2">
      <c r="A118">
        <v>7</v>
      </c>
      <c r="B118">
        <v>2</v>
      </c>
      <c r="C118">
        <v>5</v>
      </c>
      <c r="D118">
        <f t="shared" si="3"/>
        <v>-3</v>
      </c>
      <c r="E118">
        <f>IF(WarsAnalysis[[#This Row],[ScoreDiff]]&gt;0,1,0)</f>
        <v>0</v>
      </c>
      <c r="F118">
        <v>0</v>
      </c>
      <c r="G118" t="s">
        <v>17</v>
      </c>
      <c r="H118">
        <v>0</v>
      </c>
      <c r="I118" s="1" t="s">
        <v>27</v>
      </c>
      <c r="J118">
        <v>2</v>
      </c>
      <c r="K118">
        <v>12</v>
      </c>
      <c r="L118">
        <v>1</v>
      </c>
    </row>
    <row r="119" spans="1:12" x14ac:dyDescent="0.2">
      <c r="A119">
        <v>8</v>
      </c>
      <c r="B119">
        <v>10</v>
      </c>
      <c r="C119">
        <v>16</v>
      </c>
      <c r="D119">
        <f t="shared" si="3"/>
        <v>-6</v>
      </c>
      <c r="E119">
        <f>IF(WarsAnalysis[[#This Row],[ScoreDiff]]&gt;0,1,0)</f>
        <v>0</v>
      </c>
      <c r="F119">
        <v>0</v>
      </c>
      <c r="G119" t="s">
        <v>17</v>
      </c>
      <c r="H119">
        <v>0</v>
      </c>
      <c r="I119" s="1" t="s">
        <v>28</v>
      </c>
      <c r="J119">
        <v>2</v>
      </c>
      <c r="K119">
        <v>12</v>
      </c>
      <c r="L119">
        <v>1</v>
      </c>
    </row>
    <row r="120" spans="1:12" x14ac:dyDescent="0.2">
      <c r="A120">
        <v>9</v>
      </c>
      <c r="B120">
        <v>12</v>
      </c>
      <c r="C120">
        <v>7</v>
      </c>
      <c r="D120">
        <f t="shared" si="3"/>
        <v>5</v>
      </c>
      <c r="E120">
        <f>IF(WarsAnalysis[[#This Row],[ScoreDiff]]&gt;0,1,0)</f>
        <v>1</v>
      </c>
      <c r="F120">
        <v>0</v>
      </c>
      <c r="G120" t="s">
        <v>17</v>
      </c>
      <c r="H120">
        <v>0</v>
      </c>
      <c r="I120" s="1" t="s">
        <v>29</v>
      </c>
      <c r="J120">
        <v>2</v>
      </c>
      <c r="K120">
        <v>12</v>
      </c>
      <c r="L120">
        <v>1</v>
      </c>
    </row>
    <row r="121" spans="1:12" x14ac:dyDescent="0.2">
      <c r="A121">
        <v>10</v>
      </c>
      <c r="B121">
        <v>7</v>
      </c>
      <c r="C121">
        <v>4</v>
      </c>
      <c r="D121">
        <f t="shared" si="3"/>
        <v>3</v>
      </c>
      <c r="E121">
        <f>IF(WarsAnalysis[[#This Row],[ScoreDiff]]&gt;0,1,0)</f>
        <v>1</v>
      </c>
      <c r="F121">
        <v>0</v>
      </c>
      <c r="G121" t="s">
        <v>17</v>
      </c>
      <c r="H121">
        <v>0</v>
      </c>
      <c r="I121" s="1" t="s">
        <v>30</v>
      </c>
      <c r="J121">
        <v>2</v>
      </c>
      <c r="K121">
        <v>12</v>
      </c>
      <c r="L121">
        <v>1</v>
      </c>
    </row>
    <row r="122" spans="1:12" x14ac:dyDescent="0.2">
      <c r="A122">
        <v>1</v>
      </c>
      <c r="B122">
        <v>5</v>
      </c>
      <c r="C122">
        <v>4</v>
      </c>
      <c r="D122">
        <f t="shared" si="3"/>
        <v>1</v>
      </c>
      <c r="E122">
        <f>IF(WarsAnalysis[[#This Row],[ScoreDiff]]&gt;0,1,0)</f>
        <v>1</v>
      </c>
      <c r="F122">
        <v>1</v>
      </c>
      <c r="G122" t="s">
        <v>18</v>
      </c>
      <c r="H122">
        <v>0</v>
      </c>
      <c r="I122" s="1" t="s">
        <v>26</v>
      </c>
      <c r="J122">
        <v>1</v>
      </c>
      <c r="K122">
        <v>13</v>
      </c>
      <c r="L122">
        <v>1</v>
      </c>
    </row>
    <row r="123" spans="1:12" x14ac:dyDescent="0.2">
      <c r="A123">
        <v>2</v>
      </c>
      <c r="B123">
        <v>5</v>
      </c>
      <c r="C123">
        <v>15</v>
      </c>
      <c r="D123">
        <f t="shared" si="3"/>
        <v>-10</v>
      </c>
      <c r="E123">
        <f>IF(WarsAnalysis[[#This Row],[ScoreDiff]]&gt;0,1,0)</f>
        <v>0</v>
      </c>
      <c r="F123">
        <v>1</v>
      </c>
      <c r="G123" t="s">
        <v>18</v>
      </c>
      <c r="H123">
        <v>0</v>
      </c>
      <c r="I123" s="1" t="s">
        <v>27</v>
      </c>
      <c r="J123">
        <v>1</v>
      </c>
      <c r="K123">
        <v>13</v>
      </c>
      <c r="L123">
        <v>1</v>
      </c>
    </row>
    <row r="124" spans="1:12" x14ac:dyDescent="0.2">
      <c r="A124">
        <v>3</v>
      </c>
      <c r="B124">
        <v>6</v>
      </c>
      <c r="C124">
        <v>5</v>
      </c>
      <c r="D124">
        <f t="shared" si="3"/>
        <v>1</v>
      </c>
      <c r="E124">
        <f>IF(WarsAnalysis[[#This Row],[ScoreDiff]]&gt;0,1,0)</f>
        <v>1</v>
      </c>
      <c r="F124">
        <v>1</v>
      </c>
      <c r="G124" t="s">
        <v>18</v>
      </c>
      <c r="H124">
        <v>0</v>
      </c>
      <c r="I124" s="1" t="s">
        <v>28</v>
      </c>
      <c r="J124">
        <v>1</v>
      </c>
      <c r="K124">
        <v>13</v>
      </c>
      <c r="L124">
        <v>1</v>
      </c>
    </row>
    <row r="125" spans="1:12" x14ac:dyDescent="0.2">
      <c r="A125">
        <v>4</v>
      </c>
      <c r="B125">
        <v>5</v>
      </c>
      <c r="C125">
        <v>7</v>
      </c>
      <c r="D125">
        <f t="shared" si="3"/>
        <v>-2</v>
      </c>
      <c r="E125">
        <f>IF(WarsAnalysis[[#This Row],[ScoreDiff]]&gt;0,1,0)</f>
        <v>0</v>
      </c>
      <c r="F125">
        <v>1</v>
      </c>
      <c r="G125" t="s">
        <v>18</v>
      </c>
      <c r="H125">
        <v>0</v>
      </c>
      <c r="I125" s="1" t="s">
        <v>29</v>
      </c>
      <c r="J125">
        <v>1</v>
      </c>
      <c r="K125">
        <v>13</v>
      </c>
      <c r="L125">
        <v>1</v>
      </c>
    </row>
    <row r="126" spans="1:12" x14ac:dyDescent="0.2">
      <c r="A126">
        <v>5</v>
      </c>
      <c r="B126">
        <v>6</v>
      </c>
      <c r="C126">
        <v>5</v>
      </c>
      <c r="D126">
        <f t="shared" si="3"/>
        <v>1</v>
      </c>
      <c r="E126">
        <f>IF(WarsAnalysis[[#This Row],[ScoreDiff]]&gt;0,1,0)</f>
        <v>1</v>
      </c>
      <c r="F126">
        <v>1</v>
      </c>
      <c r="G126" t="s">
        <v>18</v>
      </c>
      <c r="H126">
        <v>0</v>
      </c>
      <c r="I126" s="1" t="s">
        <v>30</v>
      </c>
      <c r="J126">
        <v>1</v>
      </c>
      <c r="K126">
        <v>13</v>
      </c>
      <c r="L126">
        <v>1</v>
      </c>
    </row>
    <row r="127" spans="1:12" x14ac:dyDescent="0.2">
      <c r="A127">
        <v>6</v>
      </c>
      <c r="B127">
        <v>15</v>
      </c>
      <c r="C127">
        <v>10</v>
      </c>
      <c r="D127">
        <f t="shared" si="3"/>
        <v>5</v>
      </c>
      <c r="E127">
        <f>IF(WarsAnalysis[[#This Row],[ScoreDiff]]&gt;0,1,0)</f>
        <v>1</v>
      </c>
      <c r="F127">
        <v>1</v>
      </c>
      <c r="G127" t="s">
        <v>18</v>
      </c>
      <c r="H127">
        <v>0</v>
      </c>
      <c r="I127" s="1" t="s">
        <v>26</v>
      </c>
      <c r="J127">
        <v>2</v>
      </c>
      <c r="K127">
        <v>13</v>
      </c>
      <c r="L127">
        <v>1</v>
      </c>
    </row>
    <row r="128" spans="1:12" x14ac:dyDescent="0.2">
      <c r="A128">
        <v>7</v>
      </c>
      <c r="B128">
        <v>6</v>
      </c>
      <c r="C128">
        <v>5</v>
      </c>
      <c r="D128">
        <f t="shared" si="3"/>
        <v>1</v>
      </c>
      <c r="E128">
        <f>IF(WarsAnalysis[[#This Row],[ScoreDiff]]&gt;0,1,0)</f>
        <v>1</v>
      </c>
      <c r="F128">
        <v>1</v>
      </c>
      <c r="G128" t="s">
        <v>18</v>
      </c>
      <c r="H128">
        <v>0</v>
      </c>
      <c r="I128" s="1" t="s">
        <v>27</v>
      </c>
      <c r="J128">
        <v>2</v>
      </c>
      <c r="K128">
        <v>13</v>
      </c>
      <c r="L128">
        <v>1</v>
      </c>
    </row>
    <row r="129" spans="1:12" x14ac:dyDescent="0.2">
      <c r="A129">
        <v>8</v>
      </c>
      <c r="B129">
        <v>7</v>
      </c>
      <c r="C129">
        <v>2</v>
      </c>
      <c r="D129">
        <f t="shared" si="3"/>
        <v>5</v>
      </c>
      <c r="E129">
        <f>IF(WarsAnalysis[[#This Row],[ScoreDiff]]&gt;0,1,0)</f>
        <v>1</v>
      </c>
      <c r="F129">
        <v>1</v>
      </c>
      <c r="G129" t="s">
        <v>18</v>
      </c>
      <c r="H129">
        <v>0</v>
      </c>
      <c r="I129" s="1" t="s">
        <v>28</v>
      </c>
      <c r="J129">
        <v>2</v>
      </c>
      <c r="K129">
        <v>13</v>
      </c>
      <c r="L129">
        <v>1</v>
      </c>
    </row>
    <row r="130" spans="1:12" x14ac:dyDescent="0.2">
      <c r="A130">
        <v>9</v>
      </c>
      <c r="B130">
        <v>11</v>
      </c>
      <c r="C130">
        <v>0</v>
      </c>
      <c r="D130">
        <f t="shared" ref="D130:D172" si="4">B130-C130</f>
        <v>11</v>
      </c>
      <c r="E130">
        <f>IF(WarsAnalysis[[#This Row],[ScoreDiff]]&gt;0,1,0)</f>
        <v>1</v>
      </c>
      <c r="F130">
        <v>1</v>
      </c>
      <c r="G130" t="s">
        <v>18</v>
      </c>
      <c r="H130">
        <v>0</v>
      </c>
      <c r="I130" s="1" t="s">
        <v>29</v>
      </c>
      <c r="J130">
        <v>2</v>
      </c>
      <c r="K130">
        <v>13</v>
      </c>
      <c r="L130">
        <v>1</v>
      </c>
    </row>
    <row r="131" spans="1:12" x14ac:dyDescent="0.2">
      <c r="A131">
        <v>10</v>
      </c>
      <c r="B131">
        <v>13</v>
      </c>
      <c r="C131">
        <v>11</v>
      </c>
      <c r="D131">
        <f t="shared" si="4"/>
        <v>2</v>
      </c>
      <c r="E131">
        <f>IF(WarsAnalysis[[#This Row],[ScoreDiff]]&gt;0,1,0)</f>
        <v>1</v>
      </c>
      <c r="F131">
        <v>1</v>
      </c>
      <c r="G131" t="s">
        <v>18</v>
      </c>
      <c r="H131">
        <v>0</v>
      </c>
      <c r="I131" s="1" t="s">
        <v>30</v>
      </c>
      <c r="J131">
        <v>2</v>
      </c>
      <c r="K131">
        <v>13</v>
      </c>
      <c r="L131">
        <v>1</v>
      </c>
    </row>
    <row r="132" spans="1:12" x14ac:dyDescent="0.2">
      <c r="A132">
        <v>1</v>
      </c>
      <c r="B132">
        <v>6</v>
      </c>
      <c r="C132">
        <v>9</v>
      </c>
      <c r="D132">
        <f t="shared" si="4"/>
        <v>-3</v>
      </c>
      <c r="E132">
        <f>IF(WarsAnalysis[[#This Row],[ScoreDiff]]&gt;0,1,0)</f>
        <v>0</v>
      </c>
      <c r="F132">
        <v>0</v>
      </c>
      <c r="G132" t="s">
        <v>19</v>
      </c>
      <c r="H132">
        <v>0</v>
      </c>
      <c r="I132" s="1" t="s">
        <v>26</v>
      </c>
      <c r="J132">
        <v>1</v>
      </c>
      <c r="K132">
        <v>14</v>
      </c>
      <c r="L132">
        <v>0</v>
      </c>
    </row>
    <row r="133" spans="1:12" x14ac:dyDescent="0.2">
      <c r="A133">
        <v>2</v>
      </c>
      <c r="B133">
        <v>10</v>
      </c>
      <c r="C133">
        <v>8</v>
      </c>
      <c r="D133">
        <f t="shared" si="4"/>
        <v>2</v>
      </c>
      <c r="E133">
        <f>IF(WarsAnalysis[[#This Row],[ScoreDiff]]&gt;0,1,0)</f>
        <v>1</v>
      </c>
      <c r="F133">
        <v>0</v>
      </c>
      <c r="G133" t="s">
        <v>19</v>
      </c>
      <c r="H133">
        <v>0</v>
      </c>
      <c r="I133" s="1" t="s">
        <v>27</v>
      </c>
      <c r="J133">
        <v>1</v>
      </c>
      <c r="K133">
        <v>14</v>
      </c>
      <c r="L133">
        <v>0</v>
      </c>
    </row>
    <row r="134" spans="1:12" x14ac:dyDescent="0.2">
      <c r="A134">
        <v>3</v>
      </c>
      <c r="B134">
        <v>8</v>
      </c>
      <c r="C134">
        <v>9</v>
      </c>
      <c r="D134">
        <f t="shared" si="4"/>
        <v>-1</v>
      </c>
      <c r="E134">
        <f>IF(WarsAnalysis[[#This Row],[ScoreDiff]]&gt;0,1,0)</f>
        <v>0</v>
      </c>
      <c r="F134">
        <v>0</v>
      </c>
      <c r="G134" t="s">
        <v>19</v>
      </c>
      <c r="H134">
        <v>0</v>
      </c>
      <c r="I134" s="1" t="s">
        <v>28</v>
      </c>
      <c r="J134">
        <v>1</v>
      </c>
      <c r="K134">
        <v>14</v>
      </c>
      <c r="L134">
        <v>0</v>
      </c>
    </row>
    <row r="135" spans="1:12" x14ac:dyDescent="0.2">
      <c r="A135">
        <v>4</v>
      </c>
      <c r="B135">
        <v>7</v>
      </c>
      <c r="C135">
        <v>11</v>
      </c>
      <c r="D135">
        <f t="shared" si="4"/>
        <v>-4</v>
      </c>
      <c r="E135">
        <f>IF(WarsAnalysis[[#This Row],[ScoreDiff]]&gt;0,1,0)</f>
        <v>0</v>
      </c>
      <c r="F135">
        <v>0</v>
      </c>
      <c r="G135" t="s">
        <v>19</v>
      </c>
      <c r="H135">
        <v>0</v>
      </c>
      <c r="I135" s="1" t="s">
        <v>29</v>
      </c>
      <c r="J135">
        <v>1</v>
      </c>
      <c r="K135">
        <v>14</v>
      </c>
      <c r="L135">
        <v>0</v>
      </c>
    </row>
    <row r="136" spans="1:12" x14ac:dyDescent="0.2">
      <c r="A136">
        <v>5</v>
      </c>
      <c r="B136">
        <v>7</v>
      </c>
      <c r="C136">
        <v>9</v>
      </c>
      <c r="D136">
        <f t="shared" si="4"/>
        <v>-2</v>
      </c>
      <c r="E136">
        <f>IF(WarsAnalysis[[#This Row],[ScoreDiff]]&gt;0,1,0)</f>
        <v>0</v>
      </c>
      <c r="F136">
        <v>0</v>
      </c>
      <c r="G136" t="s">
        <v>19</v>
      </c>
      <c r="H136">
        <v>0</v>
      </c>
      <c r="I136" s="1" t="s">
        <v>30</v>
      </c>
      <c r="J136">
        <v>1</v>
      </c>
      <c r="K136">
        <v>14</v>
      </c>
      <c r="L136">
        <v>0</v>
      </c>
    </row>
    <row r="137" spans="1:12" x14ac:dyDescent="0.2">
      <c r="A137">
        <v>6</v>
      </c>
      <c r="B137">
        <v>7</v>
      </c>
      <c r="C137">
        <v>11</v>
      </c>
      <c r="D137">
        <f t="shared" si="4"/>
        <v>-4</v>
      </c>
      <c r="E137">
        <f>IF(WarsAnalysis[[#This Row],[ScoreDiff]]&gt;0,1,0)</f>
        <v>0</v>
      </c>
      <c r="F137">
        <v>0</v>
      </c>
      <c r="G137" t="s">
        <v>19</v>
      </c>
      <c r="H137">
        <v>0</v>
      </c>
      <c r="I137" s="1" t="s">
        <v>26</v>
      </c>
      <c r="J137">
        <v>2</v>
      </c>
      <c r="K137">
        <v>14</v>
      </c>
      <c r="L137">
        <v>0</v>
      </c>
    </row>
    <row r="138" spans="1:12" x14ac:dyDescent="0.2">
      <c r="A138">
        <v>7</v>
      </c>
      <c r="B138">
        <v>11</v>
      </c>
      <c r="C138">
        <v>11</v>
      </c>
      <c r="D138">
        <f t="shared" si="4"/>
        <v>0</v>
      </c>
      <c r="E138">
        <f>IF(WarsAnalysis[[#This Row],[ScoreDiff]]&gt;0,1,0)</f>
        <v>0</v>
      </c>
      <c r="F138">
        <v>0</v>
      </c>
      <c r="G138" t="s">
        <v>19</v>
      </c>
      <c r="H138">
        <v>0</v>
      </c>
      <c r="I138" s="1" t="s">
        <v>27</v>
      </c>
      <c r="J138">
        <v>2</v>
      </c>
      <c r="K138">
        <v>14</v>
      </c>
      <c r="L138">
        <v>0</v>
      </c>
    </row>
    <row r="139" spans="1:12" x14ac:dyDescent="0.2">
      <c r="A139">
        <v>8</v>
      </c>
      <c r="B139">
        <v>4</v>
      </c>
      <c r="C139">
        <v>8</v>
      </c>
      <c r="D139">
        <f t="shared" si="4"/>
        <v>-4</v>
      </c>
      <c r="E139">
        <f>IF(WarsAnalysis[[#This Row],[ScoreDiff]]&gt;0,1,0)</f>
        <v>0</v>
      </c>
      <c r="F139">
        <v>0</v>
      </c>
      <c r="G139" t="s">
        <v>19</v>
      </c>
      <c r="H139">
        <v>0</v>
      </c>
      <c r="I139" s="1" t="s">
        <v>28</v>
      </c>
      <c r="J139">
        <v>2</v>
      </c>
      <c r="K139">
        <v>14</v>
      </c>
      <c r="L139">
        <v>0</v>
      </c>
    </row>
    <row r="140" spans="1:12" x14ac:dyDescent="0.2">
      <c r="A140">
        <v>9</v>
      </c>
      <c r="B140">
        <v>17</v>
      </c>
      <c r="C140">
        <v>16</v>
      </c>
      <c r="D140">
        <f t="shared" si="4"/>
        <v>1</v>
      </c>
      <c r="E140">
        <f>IF(WarsAnalysis[[#This Row],[ScoreDiff]]&gt;0,1,0)</f>
        <v>1</v>
      </c>
      <c r="F140">
        <v>0</v>
      </c>
      <c r="G140" t="s">
        <v>19</v>
      </c>
      <c r="H140">
        <v>0</v>
      </c>
      <c r="I140" s="1" t="s">
        <v>29</v>
      </c>
      <c r="J140">
        <v>2</v>
      </c>
      <c r="K140">
        <v>14</v>
      </c>
      <c r="L140">
        <v>0</v>
      </c>
    </row>
    <row r="141" spans="1:12" x14ac:dyDescent="0.2">
      <c r="A141">
        <v>10</v>
      </c>
      <c r="B141">
        <v>8</v>
      </c>
      <c r="C141">
        <v>7</v>
      </c>
      <c r="D141">
        <f t="shared" si="4"/>
        <v>1</v>
      </c>
      <c r="E141">
        <f>IF(WarsAnalysis[[#This Row],[ScoreDiff]]&gt;0,1,0)</f>
        <v>1</v>
      </c>
      <c r="F141">
        <v>0</v>
      </c>
      <c r="G141" t="s">
        <v>19</v>
      </c>
      <c r="H141">
        <v>0</v>
      </c>
      <c r="I141" s="1" t="s">
        <v>30</v>
      </c>
      <c r="J141">
        <v>2</v>
      </c>
      <c r="K141">
        <v>14</v>
      </c>
      <c r="L141">
        <v>0</v>
      </c>
    </row>
    <row r="142" spans="1:12" x14ac:dyDescent="0.2">
      <c r="A142">
        <v>1</v>
      </c>
      <c r="B142">
        <v>3</v>
      </c>
      <c r="C142">
        <v>13</v>
      </c>
      <c r="D142">
        <f t="shared" si="4"/>
        <v>-10</v>
      </c>
      <c r="E142">
        <f>IF(WarsAnalysis[[#This Row],[ScoreDiff]]&gt;0,1,0)</f>
        <v>0</v>
      </c>
      <c r="F142">
        <v>0</v>
      </c>
      <c r="G142" t="s">
        <v>20</v>
      </c>
      <c r="H142">
        <v>1</v>
      </c>
      <c r="I142" s="1" t="s">
        <v>26</v>
      </c>
      <c r="J142">
        <v>1</v>
      </c>
      <c r="K142">
        <v>15</v>
      </c>
      <c r="L142">
        <v>0</v>
      </c>
    </row>
    <row r="143" spans="1:12" x14ac:dyDescent="0.2">
      <c r="A143">
        <v>2</v>
      </c>
      <c r="B143">
        <v>5</v>
      </c>
      <c r="C143">
        <v>9</v>
      </c>
      <c r="D143">
        <f t="shared" si="4"/>
        <v>-4</v>
      </c>
      <c r="E143">
        <f>IF(WarsAnalysis[[#This Row],[ScoreDiff]]&gt;0,1,0)</f>
        <v>0</v>
      </c>
      <c r="F143">
        <v>0</v>
      </c>
      <c r="G143" t="s">
        <v>20</v>
      </c>
      <c r="H143">
        <v>1</v>
      </c>
      <c r="I143" s="1" t="s">
        <v>27</v>
      </c>
      <c r="J143">
        <v>1</v>
      </c>
      <c r="K143">
        <v>15</v>
      </c>
      <c r="L143">
        <v>0</v>
      </c>
    </row>
    <row r="144" spans="1:12" x14ac:dyDescent="0.2">
      <c r="A144">
        <v>3</v>
      </c>
      <c r="B144">
        <v>11</v>
      </c>
      <c r="C144">
        <v>10</v>
      </c>
      <c r="D144">
        <f t="shared" si="4"/>
        <v>1</v>
      </c>
      <c r="E144">
        <f>IF(WarsAnalysis[[#This Row],[ScoreDiff]]&gt;0,1,0)</f>
        <v>1</v>
      </c>
      <c r="F144">
        <v>0</v>
      </c>
      <c r="G144" t="s">
        <v>20</v>
      </c>
      <c r="H144">
        <v>1</v>
      </c>
      <c r="I144" s="1" t="s">
        <v>28</v>
      </c>
      <c r="J144">
        <v>1</v>
      </c>
      <c r="K144">
        <v>15</v>
      </c>
      <c r="L144">
        <v>0</v>
      </c>
    </row>
    <row r="145" spans="1:12" x14ac:dyDescent="0.2">
      <c r="A145">
        <v>4</v>
      </c>
      <c r="B145">
        <v>8</v>
      </c>
      <c r="C145">
        <v>10</v>
      </c>
      <c r="D145">
        <f t="shared" si="4"/>
        <v>-2</v>
      </c>
      <c r="E145">
        <f>IF(WarsAnalysis[[#This Row],[ScoreDiff]]&gt;0,1,0)</f>
        <v>0</v>
      </c>
      <c r="F145">
        <v>0</v>
      </c>
      <c r="G145" t="s">
        <v>20</v>
      </c>
      <c r="H145">
        <v>1</v>
      </c>
      <c r="I145" s="1" t="s">
        <v>29</v>
      </c>
      <c r="J145">
        <v>1</v>
      </c>
      <c r="K145">
        <v>15</v>
      </c>
      <c r="L145">
        <v>0</v>
      </c>
    </row>
    <row r="146" spans="1:12" x14ac:dyDescent="0.2">
      <c r="A146">
        <v>5</v>
      </c>
      <c r="B146">
        <v>10</v>
      </c>
      <c r="C146">
        <v>10</v>
      </c>
      <c r="D146">
        <f t="shared" si="4"/>
        <v>0</v>
      </c>
      <c r="E146">
        <f>IF(WarsAnalysis[[#This Row],[ScoreDiff]]&gt;0,1,0)</f>
        <v>0</v>
      </c>
      <c r="F146">
        <v>0</v>
      </c>
      <c r="G146" t="s">
        <v>20</v>
      </c>
      <c r="H146">
        <v>1</v>
      </c>
      <c r="I146" s="1" t="s">
        <v>30</v>
      </c>
      <c r="J146">
        <v>1</v>
      </c>
      <c r="K146">
        <v>15</v>
      </c>
      <c r="L146">
        <v>0</v>
      </c>
    </row>
    <row r="147" spans="1:12" x14ac:dyDescent="0.2">
      <c r="A147">
        <v>6</v>
      </c>
      <c r="B147">
        <v>15</v>
      </c>
      <c r="C147">
        <v>12</v>
      </c>
      <c r="D147">
        <f t="shared" si="4"/>
        <v>3</v>
      </c>
      <c r="E147">
        <f>IF(WarsAnalysis[[#This Row],[ScoreDiff]]&gt;0,1,0)</f>
        <v>1</v>
      </c>
      <c r="F147">
        <v>0</v>
      </c>
      <c r="G147" t="s">
        <v>20</v>
      </c>
      <c r="H147">
        <v>1</v>
      </c>
      <c r="I147" s="1" t="s">
        <v>26</v>
      </c>
      <c r="J147">
        <v>2</v>
      </c>
      <c r="K147">
        <v>15</v>
      </c>
      <c r="L147">
        <v>0</v>
      </c>
    </row>
    <row r="148" spans="1:12" x14ac:dyDescent="0.2">
      <c r="A148">
        <v>7</v>
      </c>
      <c r="B148">
        <v>8</v>
      </c>
      <c r="C148">
        <v>7</v>
      </c>
      <c r="D148">
        <f t="shared" si="4"/>
        <v>1</v>
      </c>
      <c r="E148">
        <f>IF(WarsAnalysis[[#This Row],[ScoreDiff]]&gt;0,1,0)</f>
        <v>1</v>
      </c>
      <c r="F148">
        <v>0</v>
      </c>
      <c r="G148" t="s">
        <v>20</v>
      </c>
      <c r="H148">
        <v>1</v>
      </c>
      <c r="I148" s="1" t="s">
        <v>27</v>
      </c>
      <c r="J148">
        <v>2</v>
      </c>
      <c r="K148">
        <v>15</v>
      </c>
      <c r="L148">
        <v>0</v>
      </c>
    </row>
    <row r="149" spans="1:12" x14ac:dyDescent="0.2">
      <c r="A149">
        <v>8</v>
      </c>
      <c r="B149">
        <v>11</v>
      </c>
      <c r="C149">
        <v>5</v>
      </c>
      <c r="D149">
        <f t="shared" si="4"/>
        <v>6</v>
      </c>
      <c r="E149">
        <f>IF(WarsAnalysis[[#This Row],[ScoreDiff]]&gt;0,1,0)</f>
        <v>1</v>
      </c>
      <c r="F149">
        <v>0</v>
      </c>
      <c r="G149" t="s">
        <v>20</v>
      </c>
      <c r="H149">
        <v>1</v>
      </c>
      <c r="I149" s="1" t="s">
        <v>28</v>
      </c>
      <c r="J149">
        <v>2</v>
      </c>
      <c r="K149">
        <v>15</v>
      </c>
      <c r="L149">
        <v>0</v>
      </c>
    </row>
    <row r="150" spans="1:12" x14ac:dyDescent="0.2">
      <c r="A150">
        <v>9</v>
      </c>
      <c r="B150">
        <v>4</v>
      </c>
      <c r="C150">
        <v>2</v>
      </c>
      <c r="D150">
        <f t="shared" si="4"/>
        <v>2</v>
      </c>
      <c r="E150">
        <f>IF(WarsAnalysis[[#This Row],[ScoreDiff]]&gt;0,1,0)</f>
        <v>1</v>
      </c>
      <c r="F150">
        <v>0</v>
      </c>
      <c r="G150" t="s">
        <v>20</v>
      </c>
      <c r="H150">
        <v>1</v>
      </c>
      <c r="I150" s="1" t="s">
        <v>29</v>
      </c>
      <c r="J150">
        <v>2</v>
      </c>
      <c r="K150">
        <v>15</v>
      </c>
      <c r="L150">
        <v>0</v>
      </c>
    </row>
    <row r="151" spans="1:12" x14ac:dyDescent="0.2">
      <c r="A151">
        <v>10</v>
      </c>
      <c r="B151">
        <v>10</v>
      </c>
      <c r="C151">
        <v>9</v>
      </c>
      <c r="D151">
        <f t="shared" si="4"/>
        <v>1</v>
      </c>
      <c r="E151">
        <f>IF(WarsAnalysis[[#This Row],[ScoreDiff]]&gt;0,1,0)</f>
        <v>1</v>
      </c>
      <c r="F151">
        <v>0</v>
      </c>
      <c r="G151" t="s">
        <v>20</v>
      </c>
      <c r="H151">
        <v>1</v>
      </c>
      <c r="I151" s="1" t="s">
        <v>30</v>
      </c>
      <c r="J151">
        <v>2</v>
      </c>
      <c r="K151">
        <v>15</v>
      </c>
      <c r="L151">
        <v>0</v>
      </c>
    </row>
    <row r="152" spans="1:12" x14ac:dyDescent="0.2">
      <c r="A152">
        <v>1</v>
      </c>
      <c r="B152">
        <v>8</v>
      </c>
      <c r="C152">
        <v>8</v>
      </c>
      <c r="D152">
        <f t="shared" si="4"/>
        <v>0</v>
      </c>
      <c r="E152">
        <f>IF(WarsAnalysis[[#This Row],[ScoreDiff]]&gt;0,1,0)</f>
        <v>0</v>
      </c>
      <c r="F152">
        <v>0</v>
      </c>
      <c r="G152" t="s">
        <v>21</v>
      </c>
      <c r="H152">
        <v>1</v>
      </c>
      <c r="I152" s="1" t="s">
        <v>26</v>
      </c>
      <c r="J152">
        <v>1</v>
      </c>
      <c r="K152">
        <v>16</v>
      </c>
      <c r="L152">
        <v>0</v>
      </c>
    </row>
    <row r="153" spans="1:12" x14ac:dyDescent="0.2">
      <c r="A153">
        <v>2</v>
      </c>
      <c r="B153">
        <v>8</v>
      </c>
      <c r="C153">
        <v>10</v>
      </c>
      <c r="D153">
        <f t="shared" si="4"/>
        <v>-2</v>
      </c>
      <c r="E153">
        <f>IF(WarsAnalysis[[#This Row],[ScoreDiff]]&gt;0,1,0)</f>
        <v>0</v>
      </c>
      <c r="F153">
        <v>0</v>
      </c>
      <c r="G153" t="s">
        <v>21</v>
      </c>
      <c r="H153">
        <v>1</v>
      </c>
      <c r="I153" s="1" t="s">
        <v>27</v>
      </c>
      <c r="J153">
        <v>1</v>
      </c>
      <c r="K153">
        <v>16</v>
      </c>
      <c r="L153">
        <v>0</v>
      </c>
    </row>
    <row r="154" spans="1:12" x14ac:dyDescent="0.2">
      <c r="A154">
        <v>3</v>
      </c>
      <c r="B154">
        <v>5</v>
      </c>
      <c r="C154">
        <v>14</v>
      </c>
      <c r="D154">
        <f t="shared" si="4"/>
        <v>-9</v>
      </c>
      <c r="E154">
        <f>IF(WarsAnalysis[[#This Row],[ScoreDiff]]&gt;0,1,0)</f>
        <v>0</v>
      </c>
      <c r="F154">
        <v>0</v>
      </c>
      <c r="G154" t="s">
        <v>21</v>
      </c>
      <c r="H154">
        <v>1</v>
      </c>
      <c r="I154" s="1" t="s">
        <v>28</v>
      </c>
      <c r="J154">
        <v>1</v>
      </c>
      <c r="K154">
        <v>16</v>
      </c>
      <c r="L154">
        <v>0</v>
      </c>
    </row>
    <row r="155" spans="1:12" x14ac:dyDescent="0.2">
      <c r="A155">
        <v>4</v>
      </c>
      <c r="B155">
        <v>4</v>
      </c>
      <c r="C155">
        <v>8</v>
      </c>
      <c r="D155">
        <f t="shared" si="4"/>
        <v>-4</v>
      </c>
      <c r="E155">
        <f>IF(WarsAnalysis[[#This Row],[ScoreDiff]]&gt;0,1,0)</f>
        <v>0</v>
      </c>
      <c r="F155">
        <v>0</v>
      </c>
      <c r="G155" t="s">
        <v>21</v>
      </c>
      <c r="H155">
        <v>1</v>
      </c>
      <c r="I155" s="1" t="s">
        <v>29</v>
      </c>
      <c r="J155">
        <v>1</v>
      </c>
      <c r="K155">
        <v>16</v>
      </c>
      <c r="L155">
        <v>0</v>
      </c>
    </row>
    <row r="156" spans="1:12" x14ac:dyDescent="0.2">
      <c r="A156">
        <v>5</v>
      </c>
      <c r="B156">
        <v>15</v>
      </c>
      <c r="C156">
        <v>10</v>
      </c>
      <c r="D156">
        <f t="shared" si="4"/>
        <v>5</v>
      </c>
      <c r="E156">
        <f>IF(WarsAnalysis[[#This Row],[ScoreDiff]]&gt;0,1,0)</f>
        <v>1</v>
      </c>
      <c r="F156">
        <v>0</v>
      </c>
      <c r="G156" t="s">
        <v>21</v>
      </c>
      <c r="H156">
        <v>1</v>
      </c>
      <c r="I156" s="1" t="s">
        <v>30</v>
      </c>
      <c r="J156">
        <v>1</v>
      </c>
      <c r="K156">
        <v>16</v>
      </c>
      <c r="L156">
        <v>0</v>
      </c>
    </row>
    <row r="157" spans="1:12" x14ac:dyDescent="0.2">
      <c r="A157">
        <v>6</v>
      </c>
      <c r="B157">
        <v>9</v>
      </c>
      <c r="C157">
        <v>9</v>
      </c>
      <c r="D157">
        <f t="shared" si="4"/>
        <v>0</v>
      </c>
      <c r="E157">
        <f>IF(WarsAnalysis[[#This Row],[ScoreDiff]]&gt;0,1,0)</f>
        <v>0</v>
      </c>
      <c r="F157">
        <v>0</v>
      </c>
      <c r="G157" t="s">
        <v>21</v>
      </c>
      <c r="H157">
        <v>1</v>
      </c>
      <c r="I157" s="1" t="s">
        <v>26</v>
      </c>
      <c r="J157">
        <v>2</v>
      </c>
      <c r="K157">
        <v>16</v>
      </c>
      <c r="L157">
        <v>0</v>
      </c>
    </row>
    <row r="158" spans="1:12" x14ac:dyDescent="0.2">
      <c r="A158">
        <v>7</v>
      </c>
      <c r="B158">
        <v>8</v>
      </c>
      <c r="C158">
        <v>7</v>
      </c>
      <c r="D158">
        <f t="shared" si="4"/>
        <v>1</v>
      </c>
      <c r="E158">
        <f>IF(WarsAnalysis[[#This Row],[ScoreDiff]]&gt;0,1,0)</f>
        <v>1</v>
      </c>
      <c r="F158">
        <v>0</v>
      </c>
      <c r="G158" t="s">
        <v>21</v>
      </c>
      <c r="H158">
        <v>1</v>
      </c>
      <c r="I158" s="1" t="s">
        <v>27</v>
      </c>
      <c r="J158">
        <v>2</v>
      </c>
      <c r="K158">
        <v>16</v>
      </c>
      <c r="L158">
        <v>0</v>
      </c>
    </row>
    <row r="159" spans="1:12" x14ac:dyDescent="0.2">
      <c r="A159">
        <v>8</v>
      </c>
      <c r="B159">
        <v>5</v>
      </c>
      <c r="C159">
        <v>10</v>
      </c>
      <c r="D159">
        <f t="shared" si="4"/>
        <v>-5</v>
      </c>
      <c r="E159">
        <f>IF(WarsAnalysis[[#This Row],[ScoreDiff]]&gt;0,1,0)</f>
        <v>0</v>
      </c>
      <c r="F159">
        <v>0</v>
      </c>
      <c r="G159" t="s">
        <v>21</v>
      </c>
      <c r="H159">
        <v>1</v>
      </c>
      <c r="I159" s="1" t="s">
        <v>28</v>
      </c>
      <c r="J159">
        <v>2</v>
      </c>
      <c r="K159">
        <v>16</v>
      </c>
      <c r="L159">
        <v>0</v>
      </c>
    </row>
    <row r="160" spans="1:12" x14ac:dyDescent="0.2">
      <c r="A160">
        <v>9</v>
      </c>
      <c r="B160">
        <v>6</v>
      </c>
      <c r="C160">
        <v>11</v>
      </c>
      <c r="D160">
        <f t="shared" si="4"/>
        <v>-5</v>
      </c>
      <c r="E160">
        <f>IF(WarsAnalysis[[#This Row],[ScoreDiff]]&gt;0,1,0)</f>
        <v>0</v>
      </c>
      <c r="F160">
        <v>0</v>
      </c>
      <c r="G160" t="s">
        <v>21</v>
      </c>
      <c r="H160">
        <v>1</v>
      </c>
      <c r="I160" s="1" t="s">
        <v>29</v>
      </c>
      <c r="J160">
        <v>2</v>
      </c>
      <c r="K160">
        <v>16</v>
      </c>
      <c r="L160">
        <v>0</v>
      </c>
    </row>
    <row r="161" spans="1:12" x14ac:dyDescent="0.2">
      <c r="A161">
        <v>10</v>
      </c>
      <c r="B161">
        <v>8</v>
      </c>
      <c r="C161">
        <v>11</v>
      </c>
      <c r="D161">
        <f t="shared" si="4"/>
        <v>-3</v>
      </c>
      <c r="E161">
        <f>IF(WarsAnalysis[[#This Row],[ScoreDiff]]&gt;0,1,0)</f>
        <v>0</v>
      </c>
      <c r="F161">
        <v>0</v>
      </c>
      <c r="G161" t="s">
        <v>21</v>
      </c>
      <c r="H161">
        <v>1</v>
      </c>
      <c r="I161" s="1" t="s">
        <v>30</v>
      </c>
      <c r="J161">
        <v>2</v>
      </c>
      <c r="K161">
        <v>16</v>
      </c>
      <c r="L161">
        <v>0</v>
      </c>
    </row>
    <row r="162" spans="1:12" x14ac:dyDescent="0.2">
      <c r="A162">
        <v>1</v>
      </c>
      <c r="B162">
        <v>3</v>
      </c>
      <c r="C162">
        <v>11</v>
      </c>
      <c r="D162">
        <f t="shared" si="4"/>
        <v>-8</v>
      </c>
      <c r="E162">
        <f>IF(WarsAnalysis[[#This Row],[ScoreDiff]]&gt;0,1,0)</f>
        <v>0</v>
      </c>
      <c r="F162">
        <v>1</v>
      </c>
      <c r="G162" t="s">
        <v>100</v>
      </c>
      <c r="H162">
        <v>1</v>
      </c>
      <c r="I162" s="1" t="s">
        <v>26</v>
      </c>
      <c r="J162">
        <v>1</v>
      </c>
      <c r="K162">
        <v>17</v>
      </c>
      <c r="L162">
        <v>1</v>
      </c>
    </row>
    <row r="163" spans="1:12" x14ac:dyDescent="0.2">
      <c r="A163">
        <v>2</v>
      </c>
      <c r="B163">
        <v>10</v>
      </c>
      <c r="C163">
        <v>6</v>
      </c>
      <c r="D163">
        <f t="shared" si="4"/>
        <v>4</v>
      </c>
      <c r="E163">
        <f>IF(WarsAnalysis[[#This Row],[ScoreDiff]]&gt;0,1,0)</f>
        <v>1</v>
      </c>
      <c r="F163">
        <v>1</v>
      </c>
      <c r="G163" t="s">
        <v>100</v>
      </c>
      <c r="H163">
        <v>1</v>
      </c>
      <c r="I163" s="1" t="s">
        <v>27</v>
      </c>
      <c r="J163">
        <v>1</v>
      </c>
      <c r="K163">
        <v>17</v>
      </c>
      <c r="L163">
        <v>1</v>
      </c>
    </row>
    <row r="164" spans="1:12" x14ac:dyDescent="0.2">
      <c r="A164">
        <v>3</v>
      </c>
      <c r="B164">
        <v>10</v>
      </c>
      <c r="C164">
        <v>12</v>
      </c>
      <c r="D164">
        <f t="shared" si="4"/>
        <v>-2</v>
      </c>
      <c r="E164">
        <f>IF(WarsAnalysis[[#This Row],[ScoreDiff]]&gt;0,1,0)</f>
        <v>0</v>
      </c>
      <c r="F164">
        <v>1</v>
      </c>
      <c r="G164" t="s">
        <v>100</v>
      </c>
      <c r="H164">
        <v>1</v>
      </c>
      <c r="I164" s="1" t="s">
        <v>28</v>
      </c>
      <c r="J164">
        <v>1</v>
      </c>
      <c r="K164">
        <v>17</v>
      </c>
      <c r="L164">
        <v>1</v>
      </c>
    </row>
    <row r="165" spans="1:12" x14ac:dyDescent="0.2">
      <c r="A165">
        <v>4</v>
      </c>
      <c r="B165">
        <v>7</v>
      </c>
      <c r="C165">
        <v>5</v>
      </c>
      <c r="D165">
        <f t="shared" si="4"/>
        <v>2</v>
      </c>
      <c r="E165">
        <f>IF(WarsAnalysis[[#This Row],[ScoreDiff]]&gt;0,1,0)</f>
        <v>1</v>
      </c>
      <c r="F165">
        <v>1</v>
      </c>
      <c r="G165" t="s">
        <v>100</v>
      </c>
      <c r="H165">
        <v>1</v>
      </c>
      <c r="I165" s="1" t="s">
        <v>29</v>
      </c>
      <c r="J165">
        <v>1</v>
      </c>
      <c r="K165">
        <v>17</v>
      </c>
      <c r="L165">
        <v>1</v>
      </c>
    </row>
    <row r="166" spans="1:12" x14ac:dyDescent="0.2">
      <c r="A166">
        <v>5</v>
      </c>
      <c r="B166">
        <v>9</v>
      </c>
      <c r="C166">
        <v>4</v>
      </c>
      <c r="D166">
        <f t="shared" si="4"/>
        <v>5</v>
      </c>
      <c r="E166">
        <f>IF(WarsAnalysis[[#This Row],[ScoreDiff]]&gt;0,1,0)</f>
        <v>1</v>
      </c>
      <c r="F166">
        <v>1</v>
      </c>
      <c r="G166" t="s">
        <v>100</v>
      </c>
      <c r="H166">
        <v>1</v>
      </c>
      <c r="I166" s="1" t="s">
        <v>30</v>
      </c>
      <c r="J166">
        <v>1</v>
      </c>
      <c r="K166">
        <v>17</v>
      </c>
      <c r="L166">
        <v>1</v>
      </c>
    </row>
    <row r="167" spans="1:12" x14ac:dyDescent="0.2">
      <c r="A167">
        <v>6</v>
      </c>
      <c r="B167">
        <v>4</v>
      </c>
      <c r="C167">
        <v>2</v>
      </c>
      <c r="D167">
        <f t="shared" si="4"/>
        <v>2</v>
      </c>
      <c r="E167">
        <f>IF(WarsAnalysis[[#This Row],[ScoreDiff]]&gt;0,1,0)</f>
        <v>1</v>
      </c>
      <c r="F167">
        <v>1</v>
      </c>
      <c r="G167" t="s">
        <v>100</v>
      </c>
      <c r="H167">
        <v>1</v>
      </c>
      <c r="I167" s="1" t="s">
        <v>26</v>
      </c>
      <c r="J167">
        <v>2</v>
      </c>
      <c r="K167">
        <v>17</v>
      </c>
      <c r="L167">
        <v>1</v>
      </c>
    </row>
    <row r="168" spans="1:12" x14ac:dyDescent="0.2">
      <c r="A168">
        <v>7</v>
      </c>
      <c r="B168">
        <v>7</v>
      </c>
      <c r="C168">
        <v>9</v>
      </c>
      <c r="D168">
        <f t="shared" si="4"/>
        <v>-2</v>
      </c>
      <c r="E168">
        <f>IF(WarsAnalysis[[#This Row],[ScoreDiff]]&gt;0,1,0)</f>
        <v>0</v>
      </c>
      <c r="F168">
        <v>1</v>
      </c>
      <c r="G168" t="s">
        <v>100</v>
      </c>
      <c r="H168">
        <v>1</v>
      </c>
      <c r="I168" s="1" t="s">
        <v>27</v>
      </c>
      <c r="J168">
        <v>2</v>
      </c>
      <c r="K168">
        <v>17</v>
      </c>
      <c r="L168">
        <v>1</v>
      </c>
    </row>
    <row r="169" spans="1:12" x14ac:dyDescent="0.2">
      <c r="A169">
        <v>8</v>
      </c>
      <c r="B169">
        <v>7</v>
      </c>
      <c r="C169">
        <v>5</v>
      </c>
      <c r="D169">
        <f t="shared" si="4"/>
        <v>2</v>
      </c>
      <c r="E169">
        <f>IF(WarsAnalysis[[#This Row],[ScoreDiff]]&gt;0,1,0)</f>
        <v>1</v>
      </c>
      <c r="F169">
        <v>1</v>
      </c>
      <c r="G169" t="s">
        <v>100</v>
      </c>
      <c r="H169">
        <v>1</v>
      </c>
      <c r="I169" s="1" t="s">
        <v>28</v>
      </c>
      <c r="J169">
        <v>2</v>
      </c>
      <c r="K169">
        <v>17</v>
      </c>
      <c r="L169">
        <v>1</v>
      </c>
    </row>
    <row r="170" spans="1:12" x14ac:dyDescent="0.2">
      <c r="A170">
        <v>9</v>
      </c>
      <c r="B170">
        <v>8</v>
      </c>
      <c r="C170">
        <v>6</v>
      </c>
      <c r="D170">
        <f t="shared" si="4"/>
        <v>2</v>
      </c>
      <c r="E170">
        <f>IF(WarsAnalysis[[#This Row],[ScoreDiff]]&gt;0,1,0)</f>
        <v>1</v>
      </c>
      <c r="F170">
        <v>1</v>
      </c>
      <c r="G170" t="s">
        <v>100</v>
      </c>
      <c r="H170">
        <v>1</v>
      </c>
      <c r="I170" s="1" t="s">
        <v>29</v>
      </c>
      <c r="J170">
        <v>2</v>
      </c>
      <c r="K170">
        <v>17</v>
      </c>
      <c r="L170">
        <v>1</v>
      </c>
    </row>
    <row r="171" spans="1:12" x14ac:dyDescent="0.2">
      <c r="A171">
        <v>10</v>
      </c>
      <c r="B171">
        <v>6</v>
      </c>
      <c r="C171">
        <v>11</v>
      </c>
      <c r="D171">
        <f t="shared" si="4"/>
        <v>-5</v>
      </c>
      <c r="E171">
        <f>IF(WarsAnalysis[[#This Row],[ScoreDiff]]&gt;0,1,0)</f>
        <v>0</v>
      </c>
      <c r="F171">
        <v>1</v>
      </c>
      <c r="G171" t="s">
        <v>100</v>
      </c>
      <c r="H171">
        <v>1</v>
      </c>
      <c r="I171" s="1" t="s">
        <v>30</v>
      </c>
      <c r="J171">
        <v>2</v>
      </c>
      <c r="K171">
        <v>17</v>
      </c>
      <c r="L171">
        <v>1</v>
      </c>
    </row>
    <row r="172" spans="1:12" x14ac:dyDescent="0.2">
      <c r="A172">
        <v>11</v>
      </c>
      <c r="B172">
        <v>13</v>
      </c>
      <c r="C172">
        <v>7</v>
      </c>
      <c r="D172">
        <f t="shared" si="4"/>
        <v>6</v>
      </c>
      <c r="E172">
        <f>IF(WarsAnalysis[[#This Row],[ScoreDiff]]&gt;0,1,0)</f>
        <v>1</v>
      </c>
      <c r="F172">
        <v>1</v>
      </c>
      <c r="G172" t="s">
        <v>100</v>
      </c>
      <c r="H172">
        <v>1</v>
      </c>
      <c r="I172" s="1" t="s">
        <v>101</v>
      </c>
      <c r="J172">
        <v>3</v>
      </c>
      <c r="K172">
        <v>17</v>
      </c>
      <c r="L172">
        <v>1</v>
      </c>
    </row>
    <row r="173" spans="1:12" x14ac:dyDescent="0.2">
      <c r="A173">
        <v>1</v>
      </c>
      <c r="B173">
        <v>16</v>
      </c>
      <c r="C173">
        <v>6</v>
      </c>
      <c r="D173">
        <f t="shared" ref="D173:D182" si="5">B173-C173</f>
        <v>10</v>
      </c>
      <c r="E173" s="20">
        <f>IF(WarsAnalysis[[#This Row],[ScoreDiff]]&gt;0,1,0)</f>
        <v>1</v>
      </c>
      <c r="F173">
        <v>0</v>
      </c>
      <c r="G173" t="s">
        <v>103</v>
      </c>
      <c r="H173">
        <v>1</v>
      </c>
      <c r="I173" s="1" t="s">
        <v>26</v>
      </c>
      <c r="J173">
        <v>1</v>
      </c>
      <c r="K173">
        <v>18</v>
      </c>
      <c r="L173">
        <v>1</v>
      </c>
    </row>
    <row r="174" spans="1:12" x14ac:dyDescent="0.2">
      <c r="A174">
        <v>2</v>
      </c>
      <c r="B174">
        <v>2</v>
      </c>
      <c r="C174">
        <v>2</v>
      </c>
      <c r="D174">
        <f t="shared" si="5"/>
        <v>0</v>
      </c>
      <c r="E174" s="20">
        <f>IF(WarsAnalysis[[#This Row],[ScoreDiff]]&gt;0,1,0)</f>
        <v>0</v>
      </c>
      <c r="F174">
        <v>0</v>
      </c>
      <c r="G174" t="s">
        <v>103</v>
      </c>
      <c r="H174">
        <v>1</v>
      </c>
      <c r="I174" s="1" t="s">
        <v>27</v>
      </c>
      <c r="J174">
        <v>1</v>
      </c>
      <c r="K174">
        <v>18</v>
      </c>
      <c r="L174">
        <v>1</v>
      </c>
    </row>
    <row r="175" spans="1:12" x14ac:dyDescent="0.2">
      <c r="A175">
        <v>3</v>
      </c>
      <c r="B175">
        <v>6</v>
      </c>
      <c r="C175">
        <v>11</v>
      </c>
      <c r="D175">
        <f t="shared" si="5"/>
        <v>-5</v>
      </c>
      <c r="E175" s="20">
        <f>IF(WarsAnalysis[[#This Row],[ScoreDiff]]&gt;0,1,0)</f>
        <v>0</v>
      </c>
      <c r="F175">
        <v>0</v>
      </c>
      <c r="G175" t="s">
        <v>103</v>
      </c>
      <c r="H175">
        <v>1</v>
      </c>
      <c r="I175" s="1" t="s">
        <v>28</v>
      </c>
      <c r="J175">
        <v>1</v>
      </c>
      <c r="K175">
        <v>18</v>
      </c>
      <c r="L175">
        <v>1</v>
      </c>
    </row>
    <row r="176" spans="1:12" x14ac:dyDescent="0.2">
      <c r="A176">
        <v>4</v>
      </c>
      <c r="B176">
        <v>0</v>
      </c>
      <c r="C176">
        <v>6</v>
      </c>
      <c r="D176">
        <f t="shared" si="5"/>
        <v>-6</v>
      </c>
      <c r="E176" s="20">
        <f>IF(WarsAnalysis[[#This Row],[ScoreDiff]]&gt;0,1,0)</f>
        <v>0</v>
      </c>
      <c r="F176">
        <v>0</v>
      </c>
      <c r="G176" t="s">
        <v>103</v>
      </c>
      <c r="H176">
        <v>1</v>
      </c>
      <c r="I176" s="1" t="s">
        <v>29</v>
      </c>
      <c r="J176">
        <v>1</v>
      </c>
      <c r="K176">
        <v>18</v>
      </c>
      <c r="L176">
        <v>1</v>
      </c>
    </row>
    <row r="177" spans="1:12" x14ac:dyDescent="0.2">
      <c r="A177">
        <v>5</v>
      </c>
      <c r="B177">
        <v>9</v>
      </c>
      <c r="C177">
        <v>7</v>
      </c>
      <c r="D177">
        <f t="shared" si="5"/>
        <v>2</v>
      </c>
      <c r="E177" s="20">
        <f>IF(WarsAnalysis[[#This Row],[ScoreDiff]]&gt;0,1,0)</f>
        <v>1</v>
      </c>
      <c r="F177">
        <v>0</v>
      </c>
      <c r="G177" t="s">
        <v>103</v>
      </c>
      <c r="H177">
        <v>1</v>
      </c>
      <c r="I177" s="1" t="s">
        <v>30</v>
      </c>
      <c r="J177">
        <v>1</v>
      </c>
      <c r="K177">
        <v>18</v>
      </c>
      <c r="L177">
        <v>1</v>
      </c>
    </row>
    <row r="178" spans="1:12" x14ac:dyDescent="0.2">
      <c r="A178">
        <v>6</v>
      </c>
      <c r="B178">
        <v>13</v>
      </c>
      <c r="C178">
        <v>18</v>
      </c>
      <c r="D178">
        <f t="shared" si="5"/>
        <v>-5</v>
      </c>
      <c r="E178" s="20">
        <f>IF(WarsAnalysis[[#This Row],[ScoreDiff]]&gt;0,1,0)</f>
        <v>0</v>
      </c>
      <c r="F178">
        <v>0</v>
      </c>
      <c r="G178" t="s">
        <v>103</v>
      </c>
      <c r="H178">
        <v>1</v>
      </c>
      <c r="I178" s="1" t="s">
        <v>26</v>
      </c>
      <c r="J178">
        <v>2</v>
      </c>
      <c r="K178">
        <v>18</v>
      </c>
      <c r="L178">
        <v>1</v>
      </c>
    </row>
    <row r="179" spans="1:12" x14ac:dyDescent="0.2">
      <c r="A179">
        <v>7</v>
      </c>
      <c r="B179">
        <v>2</v>
      </c>
      <c r="C179">
        <v>5</v>
      </c>
      <c r="D179">
        <f t="shared" si="5"/>
        <v>-3</v>
      </c>
      <c r="E179" s="20">
        <f>IF(WarsAnalysis[[#This Row],[ScoreDiff]]&gt;0,1,0)</f>
        <v>0</v>
      </c>
      <c r="F179">
        <v>0</v>
      </c>
      <c r="G179" t="s">
        <v>103</v>
      </c>
      <c r="H179">
        <v>1</v>
      </c>
      <c r="I179" s="1" t="s">
        <v>27</v>
      </c>
      <c r="J179">
        <v>2</v>
      </c>
      <c r="K179">
        <v>18</v>
      </c>
      <c r="L179">
        <v>1</v>
      </c>
    </row>
    <row r="180" spans="1:12" x14ac:dyDescent="0.2">
      <c r="A180">
        <v>8</v>
      </c>
      <c r="B180">
        <v>3</v>
      </c>
      <c r="C180">
        <v>11</v>
      </c>
      <c r="D180">
        <f t="shared" si="5"/>
        <v>-8</v>
      </c>
      <c r="E180" s="20">
        <f>IF(WarsAnalysis[[#This Row],[ScoreDiff]]&gt;0,1,0)</f>
        <v>0</v>
      </c>
      <c r="F180">
        <v>0</v>
      </c>
      <c r="G180" t="s">
        <v>103</v>
      </c>
      <c r="H180">
        <v>1</v>
      </c>
      <c r="I180" s="1" t="s">
        <v>28</v>
      </c>
      <c r="J180">
        <v>2</v>
      </c>
      <c r="K180">
        <v>18</v>
      </c>
      <c r="L180">
        <v>1</v>
      </c>
    </row>
    <row r="181" spans="1:12" x14ac:dyDescent="0.2">
      <c r="A181">
        <v>9</v>
      </c>
      <c r="B181">
        <v>9</v>
      </c>
      <c r="C181">
        <v>9</v>
      </c>
      <c r="D181">
        <f t="shared" si="5"/>
        <v>0</v>
      </c>
      <c r="E181" s="20">
        <f>IF(WarsAnalysis[[#This Row],[ScoreDiff]]&gt;0,1,0)</f>
        <v>0</v>
      </c>
      <c r="F181">
        <v>0</v>
      </c>
      <c r="G181" t="s">
        <v>103</v>
      </c>
      <c r="H181">
        <v>1</v>
      </c>
      <c r="I181" s="1" t="s">
        <v>29</v>
      </c>
      <c r="J181">
        <v>2</v>
      </c>
      <c r="K181">
        <v>18</v>
      </c>
      <c r="L181">
        <v>1</v>
      </c>
    </row>
    <row r="182" spans="1:12" x14ac:dyDescent="0.2">
      <c r="A182">
        <v>10</v>
      </c>
      <c r="B182">
        <v>13</v>
      </c>
      <c r="C182">
        <v>7</v>
      </c>
      <c r="D182">
        <f t="shared" si="5"/>
        <v>6</v>
      </c>
      <c r="E182" s="20">
        <f>IF(WarsAnalysis[[#This Row],[ScoreDiff]]&gt;0,1,0)</f>
        <v>1</v>
      </c>
      <c r="F182">
        <v>0</v>
      </c>
      <c r="G182" t="s">
        <v>103</v>
      </c>
      <c r="H182">
        <v>1</v>
      </c>
      <c r="I182" s="1" t="s">
        <v>30</v>
      </c>
      <c r="J182">
        <v>2</v>
      </c>
      <c r="K182">
        <v>18</v>
      </c>
      <c r="L182">
        <v>1</v>
      </c>
    </row>
  </sheetData>
  <conditionalFormatting sqref="D2:D1048576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ignoredErrors>
    <ignoredError sqref="I1 I2:I161 I166:I172 I177:I182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03DC-39C4-2D4F-8F66-1FE60566B3B9}">
  <dimension ref="A1:AF79"/>
  <sheetViews>
    <sheetView workbookViewId="0">
      <selection activeCell="M38" sqref="M38"/>
    </sheetView>
  </sheetViews>
  <sheetFormatPr baseColWidth="10" defaultRowHeight="16" x14ac:dyDescent="0.2"/>
  <cols>
    <col min="2" max="2" width="11.33203125" customWidth="1"/>
    <col min="3" max="3" width="12.33203125" customWidth="1"/>
    <col min="4" max="4" width="11.33203125" customWidth="1"/>
    <col min="6" max="6" width="12.1640625" hidden="1" customWidth="1"/>
    <col min="7" max="7" width="12.5" customWidth="1"/>
    <col min="8" max="8" width="12.6640625" bestFit="1" customWidth="1"/>
    <col min="9" max="9" width="11.33203125" customWidth="1"/>
    <col min="11" max="11" width="16.1640625" hidden="1" customWidth="1"/>
    <col min="12" max="12" width="13.1640625" hidden="1" customWidth="1"/>
    <col min="13" max="13" width="18.6640625" customWidth="1"/>
    <col min="14" max="14" width="13.5" bestFit="1" customWidth="1"/>
    <col min="15" max="15" width="11.33203125" customWidth="1"/>
    <col min="19" max="20" width="11.6640625" bestFit="1" customWidth="1"/>
    <col min="22" max="22" width="17.5" bestFit="1" customWidth="1"/>
    <col min="23" max="23" width="9.6640625" bestFit="1" customWidth="1"/>
    <col min="24" max="24" width="10.1640625" bestFit="1" customWidth="1"/>
    <col min="25" max="25" width="11" bestFit="1" customWidth="1"/>
    <col min="26" max="27" width="13.83203125" bestFit="1" customWidth="1"/>
    <col min="28" max="29" width="9.6640625" customWidth="1"/>
    <col min="30" max="30" width="13" bestFit="1" customWidth="1"/>
    <col min="31" max="31" width="14" bestFit="1" customWidth="1"/>
    <col min="32" max="32" width="17.33203125" bestFit="1" customWidth="1"/>
    <col min="33" max="33" width="10.5" bestFit="1" customWidth="1"/>
    <col min="34" max="34" width="18.5" bestFit="1" customWidth="1"/>
    <col min="35" max="35" width="24.6640625" bestFit="1" customWidth="1"/>
    <col min="36" max="36" width="23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33</v>
      </c>
      <c r="E1" t="s">
        <v>22</v>
      </c>
      <c r="F1" t="s">
        <v>5</v>
      </c>
      <c r="G1" t="s">
        <v>4</v>
      </c>
      <c r="H1" t="s">
        <v>23</v>
      </c>
      <c r="I1" t="s">
        <v>24</v>
      </c>
      <c r="J1" t="s">
        <v>25</v>
      </c>
      <c r="K1" t="s">
        <v>31</v>
      </c>
      <c r="L1" t="s">
        <v>32</v>
      </c>
      <c r="M1" t="s">
        <v>35</v>
      </c>
      <c r="N1" t="s">
        <v>43</v>
      </c>
      <c r="O1" t="s">
        <v>36</v>
      </c>
      <c r="P1" t="s">
        <v>40</v>
      </c>
      <c r="Q1" t="s">
        <v>37</v>
      </c>
      <c r="R1" t="s">
        <v>41</v>
      </c>
      <c r="S1" t="s">
        <v>42</v>
      </c>
      <c r="T1" t="s">
        <v>94</v>
      </c>
      <c r="V1" s="17" t="s">
        <v>91</v>
      </c>
      <c r="W1" t="s">
        <v>34</v>
      </c>
      <c r="X1" t="s">
        <v>99</v>
      </c>
      <c r="Y1" t="s">
        <v>97</v>
      </c>
      <c r="Z1" t="s">
        <v>98</v>
      </c>
      <c r="AA1" t="s">
        <v>96</v>
      </c>
      <c r="AD1" s="17" t="s">
        <v>91</v>
      </c>
      <c r="AE1" t="s">
        <v>93</v>
      </c>
      <c r="AF1" t="s">
        <v>95</v>
      </c>
    </row>
    <row r="2" spans="1:32" hidden="1" x14ac:dyDescent="0.2">
      <c r="A2" s="2">
        <v>2</v>
      </c>
      <c r="B2" s="3">
        <v>5</v>
      </c>
      <c r="C2" s="3">
        <v>14</v>
      </c>
      <c r="D2" s="3">
        <v>-9</v>
      </c>
      <c r="E2" s="3">
        <v>0</v>
      </c>
      <c r="F2" s="3">
        <v>0</v>
      </c>
      <c r="G2" s="3" t="s">
        <v>11</v>
      </c>
      <c r="H2" s="3">
        <v>0</v>
      </c>
      <c r="I2" s="3" t="s">
        <v>27</v>
      </c>
      <c r="J2" s="3">
        <v>1</v>
      </c>
      <c r="K2" s="3">
        <v>1</v>
      </c>
      <c r="L2" s="3">
        <v>6</v>
      </c>
      <c r="M2" s="3" t="s">
        <v>39</v>
      </c>
      <c r="N2" s="4">
        <v>5.0694444444444445E-2</v>
      </c>
      <c r="O2" s="3">
        <v>-1</v>
      </c>
      <c r="P2" s="3">
        <v>2</v>
      </c>
      <c r="Q2" s="3">
        <v>1</v>
      </c>
      <c r="R2" s="3">
        <v>3</v>
      </c>
      <c r="S2" s="3">
        <v>1</v>
      </c>
      <c r="T2" s="5">
        <v>73</v>
      </c>
      <c r="V2" s="18" t="s">
        <v>57</v>
      </c>
      <c r="W2">
        <v>14</v>
      </c>
      <c r="X2">
        <v>25</v>
      </c>
      <c r="Y2">
        <v>11</v>
      </c>
      <c r="Z2">
        <v>3</v>
      </c>
      <c r="AA2">
        <v>4</v>
      </c>
      <c r="AD2" s="18">
        <v>0</v>
      </c>
      <c r="AE2">
        <v>38</v>
      </c>
      <c r="AF2" s="19">
        <v>89.131578947368425</v>
      </c>
    </row>
    <row r="3" spans="1:32" hidden="1" x14ac:dyDescent="0.2">
      <c r="A3" s="6">
        <v>2</v>
      </c>
      <c r="B3">
        <v>5</v>
      </c>
      <c r="C3">
        <v>14</v>
      </c>
      <c r="D3">
        <v>-9</v>
      </c>
      <c r="E3">
        <v>0</v>
      </c>
      <c r="F3">
        <v>0</v>
      </c>
      <c r="G3" t="s">
        <v>11</v>
      </c>
      <c r="H3">
        <v>0</v>
      </c>
      <c r="I3" t="s">
        <v>27</v>
      </c>
      <c r="J3">
        <v>1</v>
      </c>
      <c r="K3">
        <v>1</v>
      </c>
      <c r="L3">
        <v>6</v>
      </c>
      <c r="M3" t="s">
        <v>44</v>
      </c>
      <c r="N3" s="7">
        <v>2.7777777777777776E-2</v>
      </c>
      <c r="O3">
        <v>-2</v>
      </c>
      <c r="P3">
        <v>0</v>
      </c>
      <c r="Q3">
        <v>0</v>
      </c>
      <c r="R3">
        <v>2</v>
      </c>
      <c r="S3">
        <v>0</v>
      </c>
      <c r="T3" s="8">
        <v>40</v>
      </c>
      <c r="V3" s="18" t="s">
        <v>53</v>
      </c>
      <c r="W3">
        <v>8</v>
      </c>
      <c r="X3">
        <v>21</v>
      </c>
      <c r="Y3">
        <v>13</v>
      </c>
      <c r="Z3">
        <v>0</v>
      </c>
      <c r="AA3">
        <v>3</v>
      </c>
      <c r="AD3" s="18">
        <v>1</v>
      </c>
      <c r="AE3">
        <v>40</v>
      </c>
      <c r="AF3" s="19">
        <v>89.65</v>
      </c>
    </row>
    <row r="4" spans="1:32" ht="17" hidden="1" thickBot="1" x14ac:dyDescent="0.25">
      <c r="A4" s="9">
        <v>2</v>
      </c>
      <c r="B4" s="10">
        <v>5</v>
      </c>
      <c r="C4" s="10">
        <v>14</v>
      </c>
      <c r="D4" s="10">
        <v>-9</v>
      </c>
      <c r="E4" s="10">
        <v>0</v>
      </c>
      <c r="F4" s="10">
        <v>0</v>
      </c>
      <c r="G4" s="10" t="s">
        <v>11</v>
      </c>
      <c r="H4" s="10">
        <v>0</v>
      </c>
      <c r="I4" s="10" t="s">
        <v>27</v>
      </c>
      <c r="J4" s="10">
        <v>1</v>
      </c>
      <c r="K4" s="10">
        <v>1</v>
      </c>
      <c r="L4" s="10">
        <v>6</v>
      </c>
      <c r="M4" s="10" t="s">
        <v>45</v>
      </c>
      <c r="N4" s="11">
        <v>7.1527777777777773E-2</v>
      </c>
      <c r="O4" s="10">
        <v>-4</v>
      </c>
      <c r="P4" s="10">
        <v>3</v>
      </c>
      <c r="Q4" s="10">
        <v>0</v>
      </c>
      <c r="R4" s="10">
        <v>7</v>
      </c>
      <c r="S4" s="10">
        <v>0</v>
      </c>
      <c r="T4" s="12">
        <v>103</v>
      </c>
      <c r="V4" s="18" t="s">
        <v>72</v>
      </c>
      <c r="W4">
        <v>6</v>
      </c>
      <c r="X4">
        <v>13</v>
      </c>
      <c r="Y4">
        <v>7</v>
      </c>
      <c r="Z4">
        <v>2</v>
      </c>
      <c r="AA4">
        <v>2</v>
      </c>
      <c r="AD4" s="18" t="s">
        <v>92</v>
      </c>
      <c r="AE4">
        <v>78</v>
      </c>
      <c r="AF4" s="19">
        <v>89.397435897435898</v>
      </c>
    </row>
    <row r="5" spans="1:32" hidden="1" x14ac:dyDescent="0.2">
      <c r="A5" s="2">
        <v>4</v>
      </c>
      <c r="B5" s="3">
        <v>2</v>
      </c>
      <c r="C5" s="3">
        <v>10</v>
      </c>
      <c r="D5" s="3">
        <v>-8</v>
      </c>
      <c r="E5" s="3">
        <v>0</v>
      </c>
      <c r="F5" s="3">
        <v>0</v>
      </c>
      <c r="G5" s="3" t="s">
        <v>11</v>
      </c>
      <c r="H5" s="3">
        <v>0</v>
      </c>
      <c r="I5" s="3" t="s">
        <v>29</v>
      </c>
      <c r="J5" s="3">
        <v>1</v>
      </c>
      <c r="K5" s="3">
        <v>1</v>
      </c>
      <c r="L5" s="3">
        <v>6</v>
      </c>
      <c r="M5" s="3" t="s">
        <v>46</v>
      </c>
      <c r="N5" s="4">
        <v>0.05</v>
      </c>
      <c r="O5" s="3">
        <v>-1</v>
      </c>
      <c r="P5" s="3">
        <v>2</v>
      </c>
      <c r="Q5" s="3">
        <v>0</v>
      </c>
      <c r="R5" s="3">
        <v>3</v>
      </c>
      <c r="S5" s="3">
        <v>0</v>
      </c>
      <c r="T5" s="5">
        <v>72</v>
      </c>
      <c r="V5" s="18" t="s">
        <v>90</v>
      </c>
      <c r="W5">
        <v>5</v>
      </c>
      <c r="X5">
        <v>5</v>
      </c>
      <c r="Y5">
        <v>0</v>
      </c>
      <c r="Z5">
        <v>0</v>
      </c>
      <c r="AA5">
        <v>0</v>
      </c>
    </row>
    <row r="6" spans="1:32" x14ac:dyDescent="0.2">
      <c r="A6" s="6">
        <v>4</v>
      </c>
      <c r="B6">
        <v>2</v>
      </c>
      <c r="C6">
        <v>10</v>
      </c>
      <c r="D6">
        <v>-8</v>
      </c>
      <c r="E6">
        <v>0</v>
      </c>
      <c r="F6">
        <v>0</v>
      </c>
      <c r="G6" t="s">
        <v>11</v>
      </c>
      <c r="H6">
        <v>0</v>
      </c>
      <c r="I6" t="s">
        <v>29</v>
      </c>
      <c r="J6">
        <v>1</v>
      </c>
      <c r="K6">
        <v>1</v>
      </c>
      <c r="L6">
        <v>6</v>
      </c>
      <c r="M6" t="s">
        <v>47</v>
      </c>
      <c r="N6" s="7">
        <v>1.2500000000000001E-2</v>
      </c>
      <c r="O6">
        <v>0</v>
      </c>
      <c r="P6">
        <v>0</v>
      </c>
      <c r="Q6">
        <v>0</v>
      </c>
      <c r="R6">
        <v>0</v>
      </c>
      <c r="S6">
        <v>0</v>
      </c>
      <c r="T6" s="8">
        <v>18</v>
      </c>
      <c r="V6" s="18" t="s">
        <v>77</v>
      </c>
      <c r="W6">
        <v>5</v>
      </c>
      <c r="X6">
        <v>5</v>
      </c>
      <c r="Y6">
        <v>0</v>
      </c>
      <c r="Z6">
        <v>0</v>
      </c>
      <c r="AA6">
        <v>1</v>
      </c>
    </row>
    <row r="7" spans="1:32" ht="17" thickBot="1" x14ac:dyDescent="0.25">
      <c r="A7" s="9">
        <v>4</v>
      </c>
      <c r="B7" s="10">
        <v>2</v>
      </c>
      <c r="C7" s="10">
        <v>10</v>
      </c>
      <c r="D7" s="10">
        <v>-8</v>
      </c>
      <c r="E7" s="10">
        <v>0</v>
      </c>
      <c r="F7" s="10">
        <v>0</v>
      </c>
      <c r="G7" s="10" t="s">
        <v>11</v>
      </c>
      <c r="H7" s="10">
        <v>0</v>
      </c>
      <c r="I7" s="10" t="s">
        <v>29</v>
      </c>
      <c r="J7" s="10">
        <v>1</v>
      </c>
      <c r="K7" s="10">
        <v>1</v>
      </c>
      <c r="L7" s="10">
        <v>6</v>
      </c>
      <c r="M7" s="10" t="s">
        <v>48</v>
      </c>
      <c r="N7" s="11">
        <v>6.5972222222222224E-2</v>
      </c>
      <c r="O7" s="10">
        <v>-7</v>
      </c>
      <c r="P7" s="10">
        <v>0</v>
      </c>
      <c r="Q7" s="10">
        <v>0</v>
      </c>
      <c r="R7" s="10">
        <v>7</v>
      </c>
      <c r="S7" s="10">
        <v>0</v>
      </c>
      <c r="T7" s="12">
        <v>95</v>
      </c>
      <c r="V7" s="18" t="s">
        <v>81</v>
      </c>
      <c r="W7">
        <v>4</v>
      </c>
      <c r="X7">
        <v>4</v>
      </c>
      <c r="Y7">
        <v>0</v>
      </c>
      <c r="Z7">
        <v>0</v>
      </c>
      <c r="AA7">
        <v>0</v>
      </c>
    </row>
    <row r="8" spans="1:32" hidden="1" x14ac:dyDescent="0.2">
      <c r="A8" s="2">
        <v>3</v>
      </c>
      <c r="B8" s="3">
        <v>10</v>
      </c>
      <c r="C8" s="3">
        <v>6</v>
      </c>
      <c r="D8" s="3">
        <v>4</v>
      </c>
      <c r="E8" s="3">
        <v>1</v>
      </c>
      <c r="F8" s="3">
        <v>0</v>
      </c>
      <c r="G8" s="3" t="s">
        <v>11</v>
      </c>
      <c r="H8" s="3">
        <v>0</v>
      </c>
      <c r="I8" s="3" t="s">
        <v>28</v>
      </c>
      <c r="J8" s="3">
        <v>1</v>
      </c>
      <c r="K8" s="3">
        <v>1</v>
      </c>
      <c r="L8" s="3">
        <v>6</v>
      </c>
      <c r="M8" s="3" t="s">
        <v>49</v>
      </c>
      <c r="N8" s="4">
        <v>4.791666666666667E-2</v>
      </c>
      <c r="O8" s="3">
        <v>1</v>
      </c>
      <c r="P8" s="3">
        <v>3</v>
      </c>
      <c r="Q8" s="3">
        <v>0</v>
      </c>
      <c r="R8" s="3">
        <v>2</v>
      </c>
      <c r="S8" s="3">
        <v>1</v>
      </c>
      <c r="T8" s="5">
        <v>69</v>
      </c>
      <c r="V8" s="18" t="s">
        <v>78</v>
      </c>
      <c r="W8">
        <v>4</v>
      </c>
      <c r="X8">
        <v>4</v>
      </c>
      <c r="Y8">
        <v>0</v>
      </c>
      <c r="Z8">
        <v>0</v>
      </c>
      <c r="AA8">
        <v>0</v>
      </c>
    </row>
    <row r="9" spans="1:32" hidden="1" x14ac:dyDescent="0.2">
      <c r="A9" s="6">
        <v>3</v>
      </c>
      <c r="B9">
        <v>10</v>
      </c>
      <c r="C9">
        <v>6</v>
      </c>
      <c r="D9">
        <v>4</v>
      </c>
      <c r="E9">
        <v>1</v>
      </c>
      <c r="F9">
        <v>0</v>
      </c>
      <c r="G9" t="s">
        <v>11</v>
      </c>
      <c r="H9">
        <v>0</v>
      </c>
      <c r="I9" t="s">
        <v>28</v>
      </c>
      <c r="J9">
        <v>1</v>
      </c>
      <c r="K9">
        <v>1</v>
      </c>
      <c r="L9">
        <v>6</v>
      </c>
      <c r="M9" t="s">
        <v>50</v>
      </c>
      <c r="N9" s="7">
        <v>0</v>
      </c>
      <c r="O9">
        <v>1</v>
      </c>
      <c r="P9">
        <v>1</v>
      </c>
      <c r="Q9">
        <v>0</v>
      </c>
      <c r="R9">
        <v>0</v>
      </c>
      <c r="S9">
        <v>0</v>
      </c>
      <c r="T9" s="8">
        <v>0</v>
      </c>
      <c r="V9" s="18" t="s">
        <v>76</v>
      </c>
      <c r="W9">
        <v>4</v>
      </c>
      <c r="X9">
        <v>4</v>
      </c>
      <c r="Y9">
        <v>0</v>
      </c>
      <c r="Z9">
        <v>0</v>
      </c>
      <c r="AA9">
        <v>1</v>
      </c>
    </row>
    <row r="10" spans="1:32" hidden="1" x14ac:dyDescent="0.2">
      <c r="A10" s="6">
        <v>3</v>
      </c>
      <c r="B10">
        <v>10</v>
      </c>
      <c r="C10">
        <v>6</v>
      </c>
      <c r="D10">
        <v>4</v>
      </c>
      <c r="E10">
        <v>1</v>
      </c>
      <c r="F10">
        <v>0</v>
      </c>
      <c r="G10" t="s">
        <v>11</v>
      </c>
      <c r="H10">
        <v>0</v>
      </c>
      <c r="I10" t="s">
        <v>28</v>
      </c>
      <c r="J10">
        <v>1</v>
      </c>
      <c r="K10">
        <v>1</v>
      </c>
      <c r="L10">
        <v>6</v>
      </c>
      <c r="M10" t="s">
        <v>51</v>
      </c>
      <c r="N10" s="7">
        <v>5.1388888888888887E-2</v>
      </c>
      <c r="O10">
        <v>-2</v>
      </c>
      <c r="P10">
        <v>1</v>
      </c>
      <c r="Q10">
        <v>0</v>
      </c>
      <c r="R10">
        <v>3</v>
      </c>
      <c r="S10">
        <v>0</v>
      </c>
      <c r="T10" s="8">
        <v>74</v>
      </c>
      <c r="V10" s="18" t="s">
        <v>63</v>
      </c>
      <c r="W10">
        <v>3</v>
      </c>
      <c r="X10">
        <v>3</v>
      </c>
      <c r="Y10">
        <v>0</v>
      </c>
      <c r="Z10">
        <v>0</v>
      </c>
      <c r="AA10">
        <v>0</v>
      </c>
    </row>
    <row r="11" spans="1:32" hidden="1" x14ac:dyDescent="0.2">
      <c r="A11" s="6">
        <v>3</v>
      </c>
      <c r="B11">
        <v>10</v>
      </c>
      <c r="C11">
        <v>6</v>
      </c>
      <c r="D11">
        <v>4</v>
      </c>
      <c r="E11">
        <v>1</v>
      </c>
      <c r="F11">
        <v>0</v>
      </c>
      <c r="G11" t="s">
        <v>11</v>
      </c>
      <c r="H11">
        <v>0</v>
      </c>
      <c r="I11" t="s">
        <v>28</v>
      </c>
      <c r="J11">
        <v>1</v>
      </c>
      <c r="K11">
        <v>1</v>
      </c>
      <c r="L11">
        <v>6</v>
      </c>
      <c r="M11" t="s">
        <v>52</v>
      </c>
      <c r="N11" s="7">
        <v>2.5000000000000001E-2</v>
      </c>
      <c r="O11">
        <v>-2</v>
      </c>
      <c r="P11">
        <v>1</v>
      </c>
      <c r="Q11">
        <v>0</v>
      </c>
      <c r="R11">
        <v>3</v>
      </c>
      <c r="S11">
        <v>0</v>
      </c>
      <c r="T11" s="8">
        <v>36</v>
      </c>
      <c r="V11" s="18" t="s">
        <v>62</v>
      </c>
      <c r="W11">
        <v>3</v>
      </c>
      <c r="X11">
        <v>3</v>
      </c>
      <c r="Y11">
        <v>0</v>
      </c>
      <c r="Z11">
        <v>1</v>
      </c>
      <c r="AA11">
        <v>1</v>
      </c>
    </row>
    <row r="12" spans="1:32" hidden="1" x14ac:dyDescent="0.2">
      <c r="A12" s="6">
        <v>3</v>
      </c>
      <c r="B12">
        <v>10</v>
      </c>
      <c r="C12">
        <v>6</v>
      </c>
      <c r="D12">
        <v>4</v>
      </c>
      <c r="E12">
        <v>1</v>
      </c>
      <c r="F12">
        <v>0</v>
      </c>
      <c r="G12" t="s">
        <v>11</v>
      </c>
      <c r="H12">
        <v>0</v>
      </c>
      <c r="I12" t="s">
        <v>28</v>
      </c>
      <c r="J12">
        <v>1</v>
      </c>
      <c r="K12">
        <v>1</v>
      </c>
      <c r="L12">
        <v>6</v>
      </c>
      <c r="M12" t="s">
        <v>52</v>
      </c>
      <c r="N12" s="7">
        <v>6.9444444444444447E-4</v>
      </c>
      <c r="O12">
        <v>2</v>
      </c>
      <c r="P12">
        <v>2</v>
      </c>
      <c r="Q12">
        <v>0</v>
      </c>
      <c r="R12">
        <v>0</v>
      </c>
      <c r="S12">
        <v>0</v>
      </c>
      <c r="T12" s="8">
        <v>1</v>
      </c>
      <c r="V12" s="18" t="s">
        <v>70</v>
      </c>
      <c r="W12">
        <v>2</v>
      </c>
      <c r="X12">
        <v>2</v>
      </c>
      <c r="Y12">
        <v>0</v>
      </c>
      <c r="Z12">
        <v>0</v>
      </c>
      <c r="AA12">
        <v>1</v>
      </c>
    </row>
    <row r="13" spans="1:32" ht="17" hidden="1" thickBot="1" x14ac:dyDescent="0.25">
      <c r="A13" s="9">
        <v>3</v>
      </c>
      <c r="B13" s="10">
        <v>10</v>
      </c>
      <c r="C13" s="10">
        <v>6</v>
      </c>
      <c r="D13" s="10">
        <v>4</v>
      </c>
      <c r="E13" s="10">
        <v>1</v>
      </c>
      <c r="F13" s="10">
        <v>0</v>
      </c>
      <c r="G13" s="10" t="s">
        <v>11</v>
      </c>
      <c r="H13" s="10">
        <v>0</v>
      </c>
      <c r="I13" s="10" t="s">
        <v>28</v>
      </c>
      <c r="J13" s="10">
        <v>1</v>
      </c>
      <c r="K13" s="10">
        <v>1</v>
      </c>
      <c r="L13" s="10">
        <v>6</v>
      </c>
      <c r="M13" s="10" t="s">
        <v>38</v>
      </c>
      <c r="N13" s="11">
        <v>7.013888888888889E-2</v>
      </c>
      <c r="O13" s="10">
        <v>2</v>
      </c>
      <c r="P13" s="10">
        <v>2</v>
      </c>
      <c r="Q13" s="10">
        <v>0</v>
      </c>
      <c r="R13" s="10">
        <v>0</v>
      </c>
      <c r="S13" s="10">
        <v>1</v>
      </c>
      <c r="T13" s="12">
        <v>101</v>
      </c>
      <c r="V13" s="18" t="s">
        <v>55</v>
      </c>
      <c r="W13">
        <v>2</v>
      </c>
      <c r="X13">
        <v>2</v>
      </c>
      <c r="Y13">
        <v>0</v>
      </c>
      <c r="Z13">
        <v>0</v>
      </c>
      <c r="AA13">
        <v>0</v>
      </c>
    </row>
    <row r="14" spans="1:32" hidden="1" x14ac:dyDescent="0.2">
      <c r="A14" s="2">
        <v>8</v>
      </c>
      <c r="B14" s="3">
        <v>15</v>
      </c>
      <c r="C14" s="3">
        <v>4</v>
      </c>
      <c r="D14" s="3">
        <v>11</v>
      </c>
      <c r="E14" s="3">
        <v>1</v>
      </c>
      <c r="F14" s="3">
        <v>0</v>
      </c>
      <c r="G14" s="3" t="s">
        <v>11</v>
      </c>
      <c r="H14" s="3">
        <v>0</v>
      </c>
      <c r="I14" s="3" t="s">
        <v>28</v>
      </c>
      <c r="J14" s="3">
        <v>2</v>
      </c>
      <c r="K14" s="3">
        <v>1</v>
      </c>
      <c r="L14" s="3">
        <v>6</v>
      </c>
      <c r="M14" s="3" t="s">
        <v>53</v>
      </c>
      <c r="N14" s="4">
        <v>1.8749999999999999E-2</v>
      </c>
      <c r="O14" s="3">
        <v>1</v>
      </c>
      <c r="P14" s="3">
        <v>1</v>
      </c>
      <c r="Q14" s="3">
        <v>0</v>
      </c>
      <c r="R14" s="3">
        <v>0</v>
      </c>
      <c r="S14" s="3">
        <v>0</v>
      </c>
      <c r="T14" s="5">
        <v>27</v>
      </c>
      <c r="V14" s="18" t="s">
        <v>50</v>
      </c>
      <c r="W14">
        <v>2</v>
      </c>
      <c r="X14">
        <v>6</v>
      </c>
      <c r="Y14">
        <v>4</v>
      </c>
      <c r="Z14">
        <v>0</v>
      </c>
      <c r="AA14">
        <v>0</v>
      </c>
    </row>
    <row r="15" spans="1:32" hidden="1" x14ac:dyDescent="0.2">
      <c r="A15" s="6">
        <v>8</v>
      </c>
      <c r="B15">
        <v>15</v>
      </c>
      <c r="C15">
        <v>4</v>
      </c>
      <c r="D15">
        <v>11</v>
      </c>
      <c r="E15">
        <v>1</v>
      </c>
      <c r="F15">
        <v>0</v>
      </c>
      <c r="G15" t="s">
        <v>11</v>
      </c>
      <c r="H15">
        <v>0</v>
      </c>
      <c r="I15" t="s">
        <v>28</v>
      </c>
      <c r="J15">
        <v>2</v>
      </c>
      <c r="M15" t="s">
        <v>50</v>
      </c>
      <c r="N15" s="7">
        <v>4.8611111111111112E-2</v>
      </c>
      <c r="O15">
        <v>1</v>
      </c>
      <c r="P15">
        <v>5</v>
      </c>
      <c r="Q15">
        <v>0</v>
      </c>
      <c r="R15">
        <v>4</v>
      </c>
      <c r="S15">
        <v>0</v>
      </c>
      <c r="T15" s="8">
        <v>70</v>
      </c>
      <c r="V15" s="18" t="s">
        <v>83</v>
      </c>
      <c r="W15">
        <v>2</v>
      </c>
      <c r="X15">
        <v>2</v>
      </c>
      <c r="Y15">
        <v>0</v>
      </c>
      <c r="Z15">
        <v>0</v>
      </c>
      <c r="AA15">
        <v>0</v>
      </c>
    </row>
    <row r="16" spans="1:32" hidden="1" x14ac:dyDescent="0.2">
      <c r="A16" s="6">
        <v>8</v>
      </c>
      <c r="B16">
        <v>15</v>
      </c>
      <c r="C16">
        <v>4</v>
      </c>
      <c r="D16">
        <v>11</v>
      </c>
      <c r="E16">
        <v>1</v>
      </c>
      <c r="F16">
        <v>0</v>
      </c>
      <c r="G16" t="s">
        <v>11</v>
      </c>
      <c r="H16">
        <v>0</v>
      </c>
      <c r="I16" t="s">
        <v>28</v>
      </c>
      <c r="J16">
        <v>2</v>
      </c>
      <c r="M16" t="s">
        <v>54</v>
      </c>
      <c r="N16" s="7">
        <v>3.5416666666666666E-2</v>
      </c>
      <c r="O16">
        <v>0</v>
      </c>
      <c r="P16">
        <v>0</v>
      </c>
      <c r="Q16">
        <v>0</v>
      </c>
      <c r="R16">
        <v>0</v>
      </c>
      <c r="S16">
        <v>1</v>
      </c>
      <c r="T16" s="8">
        <v>51</v>
      </c>
      <c r="V16" s="18" t="s">
        <v>68</v>
      </c>
      <c r="W16">
        <v>1</v>
      </c>
      <c r="X16">
        <v>3</v>
      </c>
      <c r="Y16">
        <v>2</v>
      </c>
      <c r="Z16">
        <v>0</v>
      </c>
      <c r="AA16">
        <v>0</v>
      </c>
    </row>
    <row r="17" spans="1:27" hidden="1" x14ac:dyDescent="0.2">
      <c r="A17" s="6">
        <v>8</v>
      </c>
      <c r="B17">
        <v>15</v>
      </c>
      <c r="C17">
        <v>4</v>
      </c>
      <c r="D17">
        <v>11</v>
      </c>
      <c r="E17">
        <v>1</v>
      </c>
      <c r="F17">
        <v>0</v>
      </c>
      <c r="G17" t="s">
        <v>11</v>
      </c>
      <c r="H17">
        <v>0</v>
      </c>
      <c r="I17" t="s">
        <v>28</v>
      </c>
      <c r="J17">
        <v>2</v>
      </c>
      <c r="M17" t="s">
        <v>55</v>
      </c>
      <c r="N17" s="7">
        <v>1.4583333333333334E-2</v>
      </c>
      <c r="O17">
        <v>2</v>
      </c>
      <c r="P17">
        <v>2</v>
      </c>
      <c r="Q17">
        <v>0</v>
      </c>
      <c r="R17">
        <v>0</v>
      </c>
      <c r="S17">
        <v>0</v>
      </c>
      <c r="T17" s="8">
        <v>21</v>
      </c>
      <c r="V17" s="18" t="s">
        <v>75</v>
      </c>
      <c r="W17">
        <v>1</v>
      </c>
      <c r="X17">
        <v>4</v>
      </c>
      <c r="Y17">
        <v>3</v>
      </c>
      <c r="Z17">
        <v>1</v>
      </c>
      <c r="AA17">
        <v>1</v>
      </c>
    </row>
    <row r="18" spans="1:27" ht="17" hidden="1" thickBot="1" x14ac:dyDescent="0.25">
      <c r="A18" s="9">
        <v>8</v>
      </c>
      <c r="B18" s="10">
        <v>15</v>
      </c>
      <c r="C18" s="10">
        <v>4</v>
      </c>
      <c r="D18" s="10">
        <v>11</v>
      </c>
      <c r="E18" s="10">
        <v>1</v>
      </c>
      <c r="F18" s="10">
        <v>0</v>
      </c>
      <c r="G18" s="10" t="s">
        <v>11</v>
      </c>
      <c r="H18" s="10">
        <v>0</v>
      </c>
      <c r="I18" s="10" t="s">
        <v>28</v>
      </c>
      <c r="J18" s="10">
        <v>2</v>
      </c>
      <c r="K18" s="10"/>
      <c r="L18" s="10"/>
      <c r="M18" s="10" t="s">
        <v>53</v>
      </c>
      <c r="N18" s="11">
        <v>0.1361111111111111</v>
      </c>
      <c r="O18" s="10">
        <v>6</v>
      </c>
      <c r="P18" s="10">
        <v>10</v>
      </c>
      <c r="Q18" s="10">
        <v>0</v>
      </c>
      <c r="R18" s="10">
        <v>4</v>
      </c>
      <c r="S18" s="10">
        <v>2</v>
      </c>
      <c r="T18" s="12">
        <v>196</v>
      </c>
      <c r="V18" s="18" t="s">
        <v>49</v>
      </c>
      <c r="W18">
        <v>1</v>
      </c>
      <c r="X18">
        <v>3</v>
      </c>
      <c r="Y18">
        <v>2</v>
      </c>
      <c r="Z18">
        <v>0</v>
      </c>
      <c r="AA18">
        <v>1</v>
      </c>
    </row>
    <row r="19" spans="1:27" hidden="1" x14ac:dyDescent="0.2">
      <c r="A19" s="2">
        <v>1</v>
      </c>
      <c r="B19" s="3">
        <v>5</v>
      </c>
      <c r="C19" s="3">
        <v>9</v>
      </c>
      <c r="D19" s="3">
        <v>-4</v>
      </c>
      <c r="E19" s="3">
        <v>0</v>
      </c>
      <c r="F19" s="3">
        <v>1</v>
      </c>
      <c r="G19" s="3" t="s">
        <v>13</v>
      </c>
      <c r="H19" s="3">
        <v>0</v>
      </c>
      <c r="I19" s="3" t="s">
        <v>26</v>
      </c>
      <c r="J19" s="3">
        <v>1</v>
      </c>
      <c r="K19" s="3">
        <v>1</v>
      </c>
      <c r="L19" s="3">
        <v>8</v>
      </c>
      <c r="M19" s="3" t="s">
        <v>45</v>
      </c>
      <c r="N19" s="4">
        <v>0.1125</v>
      </c>
      <c r="O19" s="3">
        <v>-2</v>
      </c>
      <c r="P19" s="3">
        <v>0</v>
      </c>
      <c r="Q19" s="3">
        <v>1</v>
      </c>
      <c r="R19" s="3">
        <v>2</v>
      </c>
      <c r="S19" s="3">
        <v>0</v>
      </c>
      <c r="T19" s="5">
        <v>162</v>
      </c>
      <c r="V19" s="18" t="s">
        <v>89</v>
      </c>
      <c r="W19">
        <v>1</v>
      </c>
      <c r="X19">
        <v>1</v>
      </c>
      <c r="Y19">
        <v>0</v>
      </c>
      <c r="Z19">
        <v>0</v>
      </c>
      <c r="AA19">
        <v>0</v>
      </c>
    </row>
    <row r="20" spans="1:27" ht="17" hidden="1" thickBot="1" x14ac:dyDescent="0.25">
      <c r="A20" s="9">
        <v>1</v>
      </c>
      <c r="B20" s="10">
        <v>5</v>
      </c>
      <c r="C20" s="10">
        <v>9</v>
      </c>
      <c r="D20" s="10">
        <v>-4</v>
      </c>
      <c r="E20" s="10">
        <v>0</v>
      </c>
      <c r="F20" s="10">
        <v>1</v>
      </c>
      <c r="G20" s="10" t="s">
        <v>13</v>
      </c>
      <c r="H20" s="10">
        <v>0</v>
      </c>
      <c r="I20" s="10" t="s">
        <v>26</v>
      </c>
      <c r="J20" s="10">
        <v>1</v>
      </c>
      <c r="K20" s="10">
        <v>1</v>
      </c>
      <c r="L20" s="10">
        <v>8</v>
      </c>
      <c r="M20" s="10" t="s">
        <v>38</v>
      </c>
      <c r="N20" s="11">
        <v>0.14791666666666667</v>
      </c>
      <c r="O20" s="10">
        <v>-2</v>
      </c>
      <c r="P20" s="10">
        <v>5</v>
      </c>
      <c r="Q20" s="10">
        <v>0</v>
      </c>
      <c r="R20" s="10">
        <v>7</v>
      </c>
      <c r="S20" s="10">
        <v>0</v>
      </c>
      <c r="T20" s="12">
        <v>213</v>
      </c>
      <c r="V20" s="18" t="s">
        <v>69</v>
      </c>
      <c r="W20">
        <v>1</v>
      </c>
      <c r="X20">
        <v>3</v>
      </c>
      <c r="Y20">
        <v>2</v>
      </c>
      <c r="Z20">
        <v>0</v>
      </c>
      <c r="AA20">
        <v>0</v>
      </c>
    </row>
    <row r="21" spans="1:27" hidden="1" x14ac:dyDescent="0.2">
      <c r="A21" s="2">
        <v>2</v>
      </c>
      <c r="B21" s="3">
        <v>2</v>
      </c>
      <c r="C21" s="3">
        <v>4</v>
      </c>
      <c r="D21" s="3">
        <v>-2</v>
      </c>
      <c r="E21" s="3">
        <v>0</v>
      </c>
      <c r="F21" s="3">
        <v>1</v>
      </c>
      <c r="G21" s="3" t="s">
        <v>13</v>
      </c>
      <c r="H21" s="3">
        <v>0</v>
      </c>
      <c r="I21" s="3" t="s">
        <v>27</v>
      </c>
      <c r="J21" s="3">
        <v>1</v>
      </c>
      <c r="K21" s="3">
        <v>1</v>
      </c>
      <c r="L21" s="3">
        <v>8</v>
      </c>
      <c r="M21" s="3" t="s">
        <v>56</v>
      </c>
      <c r="N21" s="4">
        <v>4.583333333333333E-2</v>
      </c>
      <c r="O21" s="3">
        <v>0</v>
      </c>
      <c r="P21" s="3">
        <v>2</v>
      </c>
      <c r="Q21" s="3">
        <v>0</v>
      </c>
      <c r="R21" s="3">
        <v>2</v>
      </c>
      <c r="S21" s="3">
        <v>0</v>
      </c>
      <c r="T21" s="5">
        <v>66</v>
      </c>
      <c r="V21" s="18" t="s">
        <v>88</v>
      </c>
      <c r="W21">
        <v>1</v>
      </c>
      <c r="X21">
        <v>3</v>
      </c>
      <c r="Y21">
        <v>2</v>
      </c>
      <c r="Z21">
        <v>0</v>
      </c>
      <c r="AA21">
        <v>1</v>
      </c>
    </row>
    <row r="22" spans="1:27" ht="17" hidden="1" thickBot="1" x14ac:dyDescent="0.25">
      <c r="A22" s="9">
        <v>2</v>
      </c>
      <c r="B22" s="10">
        <v>2</v>
      </c>
      <c r="C22" s="10">
        <v>4</v>
      </c>
      <c r="D22" s="10">
        <v>-2</v>
      </c>
      <c r="E22" s="10">
        <v>0</v>
      </c>
      <c r="F22" s="10">
        <v>1</v>
      </c>
      <c r="G22" s="10" t="s">
        <v>13</v>
      </c>
      <c r="H22" s="10">
        <v>0</v>
      </c>
      <c r="I22" s="10" t="s">
        <v>27</v>
      </c>
      <c r="J22" s="10">
        <v>1</v>
      </c>
      <c r="K22" s="10">
        <v>1</v>
      </c>
      <c r="L22" s="10">
        <v>8</v>
      </c>
      <c r="M22" s="10" t="s">
        <v>44</v>
      </c>
      <c r="N22" s="11">
        <v>3.9583333333333331E-2</v>
      </c>
      <c r="O22" s="10">
        <v>-2</v>
      </c>
      <c r="P22" s="10">
        <v>0</v>
      </c>
      <c r="Q22" s="10">
        <v>0</v>
      </c>
      <c r="R22" s="10">
        <v>2</v>
      </c>
      <c r="S22" s="10">
        <v>0</v>
      </c>
      <c r="T22" s="12">
        <v>57</v>
      </c>
      <c r="V22" s="18" t="s">
        <v>60</v>
      </c>
      <c r="W22">
        <v>1</v>
      </c>
      <c r="X22">
        <v>5</v>
      </c>
      <c r="Y22">
        <v>4</v>
      </c>
      <c r="Z22">
        <v>0</v>
      </c>
      <c r="AA22">
        <v>1</v>
      </c>
    </row>
    <row r="23" spans="1:27" hidden="1" x14ac:dyDescent="0.2">
      <c r="A23" s="2">
        <v>6</v>
      </c>
      <c r="B23" s="3">
        <v>7</v>
      </c>
      <c r="C23" s="3">
        <v>1</v>
      </c>
      <c r="D23" s="3">
        <v>6</v>
      </c>
      <c r="E23" s="3">
        <v>1</v>
      </c>
      <c r="F23" s="3">
        <v>1</v>
      </c>
      <c r="G23" s="3" t="s">
        <v>13</v>
      </c>
      <c r="H23" s="3">
        <v>0</v>
      </c>
      <c r="I23" s="3" t="s">
        <v>26</v>
      </c>
      <c r="J23" s="3">
        <v>2</v>
      </c>
      <c r="K23" s="3">
        <v>1</v>
      </c>
      <c r="L23" s="3">
        <v>8</v>
      </c>
      <c r="M23" s="3" t="s">
        <v>45</v>
      </c>
      <c r="N23" s="4">
        <v>0.14861111111111111</v>
      </c>
      <c r="O23" s="3">
        <v>3</v>
      </c>
      <c r="P23" s="3">
        <v>4</v>
      </c>
      <c r="Q23" s="3">
        <v>2</v>
      </c>
      <c r="R23" s="3">
        <v>1</v>
      </c>
      <c r="S23" s="3">
        <v>3</v>
      </c>
      <c r="T23" s="5">
        <v>214</v>
      </c>
      <c r="V23" s="18" t="s">
        <v>87</v>
      </c>
      <c r="W23">
        <v>1</v>
      </c>
      <c r="X23">
        <v>1</v>
      </c>
      <c r="Y23">
        <v>0</v>
      </c>
      <c r="Z23">
        <v>0</v>
      </c>
      <c r="AA23">
        <v>0</v>
      </c>
    </row>
    <row r="24" spans="1:27" ht="17" hidden="1" thickBot="1" x14ac:dyDescent="0.25">
      <c r="A24" s="9">
        <v>6</v>
      </c>
      <c r="B24" s="10">
        <v>7</v>
      </c>
      <c r="C24" s="10">
        <v>1</v>
      </c>
      <c r="D24" s="10">
        <v>6</v>
      </c>
      <c r="E24" s="10">
        <v>1</v>
      </c>
      <c r="F24" s="10">
        <v>1</v>
      </c>
      <c r="G24" s="10" t="s">
        <v>13</v>
      </c>
      <c r="H24" s="10">
        <v>0</v>
      </c>
      <c r="I24" s="10" t="s">
        <v>26</v>
      </c>
      <c r="J24" s="10">
        <v>2</v>
      </c>
      <c r="K24" s="10">
        <v>1</v>
      </c>
      <c r="L24" s="10">
        <v>8</v>
      </c>
      <c r="M24" s="10" t="s">
        <v>44</v>
      </c>
      <c r="N24" s="11">
        <v>3.4722222222222224E-2</v>
      </c>
      <c r="O24" s="10">
        <v>3</v>
      </c>
      <c r="P24" s="10">
        <v>3</v>
      </c>
      <c r="Q24" s="10">
        <v>0</v>
      </c>
      <c r="R24" s="10">
        <v>0</v>
      </c>
      <c r="S24" s="10">
        <v>0</v>
      </c>
      <c r="T24" s="12">
        <v>50</v>
      </c>
      <c r="V24" s="18" t="s">
        <v>44</v>
      </c>
      <c r="W24">
        <v>1</v>
      </c>
      <c r="X24">
        <v>10</v>
      </c>
      <c r="Y24">
        <v>9</v>
      </c>
      <c r="Z24">
        <v>0</v>
      </c>
      <c r="AA24">
        <v>0</v>
      </c>
    </row>
    <row r="25" spans="1:27" hidden="1" x14ac:dyDescent="0.2">
      <c r="A25" s="2">
        <v>3</v>
      </c>
      <c r="B25" s="3">
        <v>15</v>
      </c>
      <c r="C25" s="3">
        <v>8</v>
      </c>
      <c r="D25" s="3">
        <v>7</v>
      </c>
      <c r="E25" s="3">
        <v>1</v>
      </c>
      <c r="F25" s="3">
        <v>1</v>
      </c>
      <c r="G25" s="3" t="s">
        <v>13</v>
      </c>
      <c r="H25" s="3">
        <v>0</v>
      </c>
      <c r="I25" s="3" t="s">
        <v>28</v>
      </c>
      <c r="J25" s="3">
        <v>1</v>
      </c>
      <c r="K25" s="3">
        <v>1</v>
      </c>
      <c r="L25" s="3">
        <v>8</v>
      </c>
      <c r="M25" s="3" t="s">
        <v>45</v>
      </c>
      <c r="N25" s="4">
        <v>2.2222222222222223E-2</v>
      </c>
      <c r="O25" s="3">
        <v>2</v>
      </c>
      <c r="P25" s="3">
        <v>2</v>
      </c>
      <c r="Q25" s="3">
        <v>0</v>
      </c>
      <c r="R25" s="3">
        <v>0</v>
      </c>
      <c r="S25" s="3">
        <v>1</v>
      </c>
      <c r="T25" s="5">
        <v>32</v>
      </c>
      <c r="V25" s="18" t="s">
        <v>54</v>
      </c>
      <c r="W25">
        <v>0</v>
      </c>
      <c r="X25">
        <v>0</v>
      </c>
      <c r="Y25">
        <v>0</v>
      </c>
      <c r="Z25">
        <v>0</v>
      </c>
      <c r="AA25">
        <v>1</v>
      </c>
    </row>
    <row r="26" spans="1:27" x14ac:dyDescent="0.2">
      <c r="A26" s="6">
        <v>3</v>
      </c>
      <c r="B26">
        <v>15</v>
      </c>
      <c r="C26">
        <v>8</v>
      </c>
      <c r="D26">
        <v>7</v>
      </c>
      <c r="E26">
        <v>1</v>
      </c>
      <c r="F26">
        <v>1</v>
      </c>
      <c r="G26" t="s">
        <v>13</v>
      </c>
      <c r="H26">
        <v>0</v>
      </c>
      <c r="I26" t="s">
        <v>28</v>
      </c>
      <c r="J26">
        <v>1</v>
      </c>
      <c r="K26">
        <v>1</v>
      </c>
      <c r="L26">
        <v>8</v>
      </c>
      <c r="M26" t="s">
        <v>57</v>
      </c>
      <c r="N26" s="7">
        <v>8.611111111111111E-2</v>
      </c>
      <c r="O26">
        <v>9</v>
      </c>
      <c r="P26">
        <v>11</v>
      </c>
      <c r="Q26">
        <v>0</v>
      </c>
      <c r="R26">
        <v>2</v>
      </c>
      <c r="S26">
        <v>2</v>
      </c>
      <c r="T26" s="8">
        <v>124</v>
      </c>
      <c r="V26" s="18" t="s">
        <v>86</v>
      </c>
      <c r="W26">
        <v>0</v>
      </c>
      <c r="X26">
        <v>2</v>
      </c>
      <c r="Y26">
        <v>2</v>
      </c>
      <c r="Z26">
        <v>2</v>
      </c>
      <c r="AA26">
        <v>1</v>
      </c>
    </row>
    <row r="27" spans="1:27" ht="17" thickBot="1" x14ac:dyDescent="0.25">
      <c r="A27" s="9">
        <v>3</v>
      </c>
      <c r="B27" s="10">
        <v>15</v>
      </c>
      <c r="C27" s="10">
        <v>8</v>
      </c>
      <c r="D27" s="10">
        <v>7</v>
      </c>
      <c r="E27" s="10">
        <v>1</v>
      </c>
      <c r="F27" s="10">
        <v>1</v>
      </c>
      <c r="G27" s="10" t="s">
        <v>13</v>
      </c>
      <c r="H27" s="10">
        <v>0</v>
      </c>
      <c r="I27" s="10" t="s">
        <v>28</v>
      </c>
      <c r="J27" s="10">
        <v>1</v>
      </c>
      <c r="K27" s="10">
        <v>1</v>
      </c>
      <c r="L27" s="10">
        <v>8</v>
      </c>
      <c r="M27" s="10" t="s">
        <v>58</v>
      </c>
      <c r="N27" s="11">
        <v>0.11527777777777778</v>
      </c>
      <c r="O27" s="10">
        <v>-4</v>
      </c>
      <c r="P27" s="10">
        <v>2</v>
      </c>
      <c r="Q27" s="10">
        <v>0</v>
      </c>
      <c r="R27" s="10">
        <v>6</v>
      </c>
      <c r="S27" s="10">
        <v>0</v>
      </c>
      <c r="T27" s="12">
        <v>166</v>
      </c>
      <c r="V27" s="18" t="s">
        <v>47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 s="2">
        <v>3</v>
      </c>
      <c r="B28" s="3">
        <v>4</v>
      </c>
      <c r="C28" s="3">
        <v>8</v>
      </c>
      <c r="D28" s="3">
        <v>-4</v>
      </c>
      <c r="E28" s="3">
        <v>0</v>
      </c>
      <c r="F28" s="3">
        <v>1</v>
      </c>
      <c r="G28" s="3" t="s">
        <v>14</v>
      </c>
      <c r="H28" s="3">
        <v>0</v>
      </c>
      <c r="I28" s="3" t="s">
        <v>28</v>
      </c>
      <c r="J28" s="3">
        <v>1</v>
      </c>
      <c r="K28" s="3">
        <v>1</v>
      </c>
      <c r="L28" s="3">
        <v>9</v>
      </c>
      <c r="M28" s="3" t="s">
        <v>59</v>
      </c>
      <c r="N28" s="4">
        <v>2.2916666666666665E-2</v>
      </c>
      <c r="O28" s="3">
        <v>-1</v>
      </c>
      <c r="P28" s="3">
        <v>0</v>
      </c>
      <c r="Q28" s="3">
        <v>1</v>
      </c>
      <c r="R28" s="3">
        <v>1</v>
      </c>
      <c r="S28" s="3">
        <v>0</v>
      </c>
      <c r="T28" s="5">
        <v>33</v>
      </c>
      <c r="V28" s="18" t="s">
        <v>74</v>
      </c>
      <c r="W28">
        <v>-1</v>
      </c>
      <c r="X28">
        <v>3</v>
      </c>
      <c r="Y28">
        <v>4</v>
      </c>
      <c r="Z28">
        <v>1</v>
      </c>
      <c r="AA28">
        <v>0</v>
      </c>
    </row>
    <row r="29" spans="1:27" hidden="1" x14ac:dyDescent="0.2">
      <c r="A29" s="6">
        <v>3</v>
      </c>
      <c r="B29">
        <v>4</v>
      </c>
      <c r="C29">
        <v>8</v>
      </c>
      <c r="D29">
        <v>-4</v>
      </c>
      <c r="E29">
        <v>0</v>
      </c>
      <c r="F29">
        <v>1</v>
      </c>
      <c r="G29" t="s">
        <v>14</v>
      </c>
      <c r="H29">
        <v>0</v>
      </c>
      <c r="I29" t="s">
        <v>28</v>
      </c>
      <c r="J29">
        <v>1</v>
      </c>
      <c r="K29">
        <v>1</v>
      </c>
      <c r="L29">
        <v>9</v>
      </c>
      <c r="M29" t="s">
        <v>44</v>
      </c>
      <c r="N29" s="7">
        <v>4.1666666666666664E-2</v>
      </c>
      <c r="O29">
        <v>1</v>
      </c>
      <c r="P29">
        <v>1</v>
      </c>
      <c r="Q29">
        <v>0</v>
      </c>
      <c r="R29">
        <v>0</v>
      </c>
      <c r="S29">
        <v>0</v>
      </c>
      <c r="T29" s="8">
        <v>60</v>
      </c>
      <c r="V29" s="18" t="s">
        <v>46</v>
      </c>
      <c r="W29">
        <v>-1</v>
      </c>
      <c r="X29">
        <v>2</v>
      </c>
      <c r="Y29">
        <v>3</v>
      </c>
      <c r="Z29">
        <v>0</v>
      </c>
      <c r="AA29">
        <v>0</v>
      </c>
    </row>
    <row r="30" spans="1:27" hidden="1" x14ac:dyDescent="0.2">
      <c r="A30" s="6">
        <v>3</v>
      </c>
      <c r="B30">
        <v>4</v>
      </c>
      <c r="C30">
        <v>8</v>
      </c>
      <c r="D30">
        <v>-4</v>
      </c>
      <c r="E30">
        <v>0</v>
      </c>
      <c r="F30">
        <v>1</v>
      </c>
      <c r="G30" t="s">
        <v>14</v>
      </c>
      <c r="H30">
        <v>0</v>
      </c>
      <c r="I30" t="s">
        <v>28</v>
      </c>
      <c r="J30">
        <v>1</v>
      </c>
      <c r="K30">
        <v>1</v>
      </c>
      <c r="L30">
        <v>9</v>
      </c>
      <c r="M30" t="s">
        <v>52</v>
      </c>
      <c r="N30" s="7">
        <v>2.7777777777777776E-2</v>
      </c>
      <c r="O30">
        <v>-1</v>
      </c>
      <c r="P30">
        <v>1</v>
      </c>
      <c r="Q30">
        <v>1</v>
      </c>
      <c r="R30">
        <v>2</v>
      </c>
      <c r="S30">
        <v>0</v>
      </c>
      <c r="T30" s="8">
        <v>40</v>
      </c>
      <c r="V30" s="18" t="s">
        <v>52</v>
      </c>
      <c r="W30">
        <v>-1</v>
      </c>
      <c r="X30">
        <v>4</v>
      </c>
      <c r="Y30">
        <v>5</v>
      </c>
      <c r="Z30">
        <v>1</v>
      </c>
      <c r="AA30">
        <v>0</v>
      </c>
    </row>
    <row r="31" spans="1:27" hidden="1" x14ac:dyDescent="0.2">
      <c r="A31" s="6">
        <v>3</v>
      </c>
      <c r="B31">
        <v>4</v>
      </c>
      <c r="C31">
        <v>8</v>
      </c>
      <c r="D31">
        <v>-4</v>
      </c>
      <c r="E31">
        <v>0</v>
      </c>
      <c r="F31">
        <v>1</v>
      </c>
      <c r="G31" t="s">
        <v>14</v>
      </c>
      <c r="H31">
        <v>0</v>
      </c>
      <c r="I31" t="s">
        <v>28</v>
      </c>
      <c r="J31">
        <v>1</v>
      </c>
      <c r="K31">
        <v>1</v>
      </c>
      <c r="L31">
        <v>9</v>
      </c>
      <c r="M31" t="s">
        <v>38</v>
      </c>
      <c r="N31" s="7">
        <v>7.6388888888888886E-3</v>
      </c>
      <c r="O31">
        <v>-2</v>
      </c>
      <c r="P31">
        <v>0</v>
      </c>
      <c r="Q31">
        <v>0</v>
      </c>
      <c r="R31">
        <v>2</v>
      </c>
      <c r="S31">
        <v>0</v>
      </c>
      <c r="T31" s="8">
        <v>11</v>
      </c>
      <c r="V31" s="18" t="s">
        <v>71</v>
      </c>
      <c r="W31">
        <v>-1</v>
      </c>
      <c r="X31">
        <v>5</v>
      </c>
      <c r="Y31">
        <v>6</v>
      </c>
      <c r="Z31">
        <v>0</v>
      </c>
      <c r="AA31">
        <v>1</v>
      </c>
    </row>
    <row r="32" spans="1:27" hidden="1" x14ac:dyDescent="0.2">
      <c r="A32" s="6">
        <v>3</v>
      </c>
      <c r="B32">
        <v>4</v>
      </c>
      <c r="C32">
        <v>8</v>
      </c>
      <c r="D32">
        <v>-4</v>
      </c>
      <c r="E32">
        <v>0</v>
      </c>
      <c r="F32">
        <v>1</v>
      </c>
      <c r="G32" t="s">
        <v>14</v>
      </c>
      <c r="H32">
        <v>0</v>
      </c>
      <c r="I32" t="s">
        <v>28</v>
      </c>
      <c r="J32">
        <v>1</v>
      </c>
      <c r="K32">
        <v>1</v>
      </c>
      <c r="L32">
        <v>9</v>
      </c>
      <c r="M32" t="s">
        <v>56</v>
      </c>
      <c r="N32" s="7">
        <v>2.2222222222222223E-2</v>
      </c>
      <c r="O32">
        <v>-2</v>
      </c>
      <c r="P32">
        <v>1</v>
      </c>
      <c r="Q32">
        <v>0</v>
      </c>
      <c r="R32">
        <v>3</v>
      </c>
      <c r="S32">
        <v>0</v>
      </c>
      <c r="T32" s="8">
        <v>32</v>
      </c>
      <c r="V32" s="18" t="s">
        <v>39</v>
      </c>
      <c r="W32">
        <v>-1</v>
      </c>
      <c r="X32">
        <v>2</v>
      </c>
      <c r="Y32">
        <v>3</v>
      </c>
      <c r="Z32">
        <v>1</v>
      </c>
      <c r="AA32">
        <v>1</v>
      </c>
    </row>
    <row r="33" spans="1:27" ht="17" thickBot="1" x14ac:dyDescent="0.25">
      <c r="A33" s="9">
        <v>3</v>
      </c>
      <c r="B33" s="10">
        <v>4</v>
      </c>
      <c r="C33" s="10">
        <v>8</v>
      </c>
      <c r="D33" s="10">
        <v>-4</v>
      </c>
      <c r="E33" s="10">
        <v>0</v>
      </c>
      <c r="F33" s="10">
        <v>1</v>
      </c>
      <c r="G33" s="10" t="s">
        <v>14</v>
      </c>
      <c r="H33" s="10">
        <v>0</v>
      </c>
      <c r="I33" s="10" t="s">
        <v>28</v>
      </c>
      <c r="J33" s="10">
        <v>1</v>
      </c>
      <c r="K33" s="10">
        <v>1</v>
      </c>
      <c r="L33" s="10">
        <v>9</v>
      </c>
      <c r="M33" s="10" t="s">
        <v>60</v>
      </c>
      <c r="N33" s="11">
        <v>7.1527777777777773E-2</v>
      </c>
      <c r="O33" s="10">
        <v>1</v>
      </c>
      <c r="P33" s="10">
        <v>5</v>
      </c>
      <c r="Q33" s="10">
        <v>0</v>
      </c>
      <c r="R33" s="10">
        <v>4</v>
      </c>
      <c r="S33" s="10">
        <v>1</v>
      </c>
      <c r="T33" s="12">
        <v>103</v>
      </c>
      <c r="V33" s="18" t="s">
        <v>64</v>
      </c>
      <c r="W33">
        <v>-1</v>
      </c>
      <c r="X33">
        <v>2</v>
      </c>
      <c r="Y33">
        <v>3</v>
      </c>
      <c r="Z33">
        <v>0</v>
      </c>
      <c r="AA33">
        <v>0</v>
      </c>
    </row>
    <row r="34" spans="1:27" ht="17" hidden="1" thickBot="1" x14ac:dyDescent="0.25">
      <c r="A34" s="2">
        <v>7</v>
      </c>
      <c r="B34" s="3">
        <v>7</v>
      </c>
      <c r="C34" s="3">
        <v>10</v>
      </c>
      <c r="D34" s="3">
        <v>-3</v>
      </c>
      <c r="E34" s="3">
        <v>0</v>
      </c>
      <c r="F34" s="3">
        <v>1</v>
      </c>
      <c r="G34" s="3" t="s">
        <v>14</v>
      </c>
      <c r="H34" s="3">
        <v>0</v>
      </c>
      <c r="I34" s="3" t="s">
        <v>27</v>
      </c>
      <c r="J34" s="3">
        <v>2</v>
      </c>
      <c r="K34" s="3">
        <v>1</v>
      </c>
      <c r="L34" s="3">
        <v>9</v>
      </c>
      <c r="M34" s="3" t="s">
        <v>44</v>
      </c>
      <c r="N34" s="4">
        <v>9.0277777777777769E-3</v>
      </c>
      <c r="O34" s="3">
        <v>-1</v>
      </c>
      <c r="P34" s="3">
        <v>2</v>
      </c>
      <c r="Q34" s="3">
        <v>0</v>
      </c>
      <c r="R34" s="3">
        <v>3</v>
      </c>
      <c r="S34" s="3">
        <v>0</v>
      </c>
      <c r="T34" s="5">
        <v>13</v>
      </c>
      <c r="V34" s="18" t="s">
        <v>59</v>
      </c>
      <c r="W34">
        <v>-1</v>
      </c>
      <c r="X34">
        <v>0</v>
      </c>
      <c r="Y34">
        <v>1</v>
      </c>
      <c r="Z34">
        <v>1</v>
      </c>
      <c r="AA34">
        <v>0</v>
      </c>
    </row>
    <row r="35" spans="1:27" ht="17" hidden="1" thickBot="1" x14ac:dyDescent="0.25">
      <c r="A35" s="6">
        <v>7</v>
      </c>
      <c r="B35">
        <v>7</v>
      </c>
      <c r="C35">
        <v>10</v>
      </c>
      <c r="D35">
        <v>-3</v>
      </c>
      <c r="E35">
        <v>0</v>
      </c>
      <c r="F35">
        <v>1</v>
      </c>
      <c r="G35" t="s">
        <v>14</v>
      </c>
      <c r="H35">
        <v>0</v>
      </c>
      <c r="I35" t="s">
        <v>27</v>
      </c>
      <c r="J35">
        <v>2</v>
      </c>
      <c r="K35">
        <v>1</v>
      </c>
      <c r="L35">
        <v>9</v>
      </c>
      <c r="M35" t="s">
        <v>45</v>
      </c>
      <c r="N35" s="7">
        <v>9.7222222222222224E-2</v>
      </c>
      <c r="O35">
        <v>-1</v>
      </c>
      <c r="P35">
        <v>4</v>
      </c>
      <c r="Q35">
        <v>1</v>
      </c>
      <c r="R35">
        <v>5</v>
      </c>
      <c r="S35">
        <v>0</v>
      </c>
      <c r="T35" s="8">
        <v>140</v>
      </c>
      <c r="V35" s="18" t="s">
        <v>56</v>
      </c>
      <c r="W35">
        <v>-2</v>
      </c>
      <c r="X35">
        <v>3</v>
      </c>
      <c r="Y35">
        <v>5</v>
      </c>
      <c r="Z35">
        <v>0</v>
      </c>
      <c r="AA35">
        <v>0</v>
      </c>
    </row>
    <row r="36" spans="1:27" ht="17" hidden="1" thickBot="1" x14ac:dyDescent="0.25">
      <c r="A36" s="9">
        <v>7</v>
      </c>
      <c r="B36" s="10">
        <v>7</v>
      </c>
      <c r="C36" s="10">
        <v>10</v>
      </c>
      <c r="D36" s="10">
        <v>-3</v>
      </c>
      <c r="E36" s="10">
        <v>0</v>
      </c>
      <c r="F36" s="10">
        <v>1</v>
      </c>
      <c r="G36" s="10" t="s">
        <v>14</v>
      </c>
      <c r="H36" s="10">
        <v>0</v>
      </c>
      <c r="I36" s="10" t="s">
        <v>27</v>
      </c>
      <c r="J36" s="10">
        <v>2</v>
      </c>
      <c r="K36" s="10">
        <v>1</v>
      </c>
      <c r="L36" s="10">
        <v>9</v>
      </c>
      <c r="M36" s="10" t="s">
        <v>61</v>
      </c>
      <c r="N36" s="11">
        <v>0.1076388888888889</v>
      </c>
      <c r="O36" s="10">
        <v>3</v>
      </c>
      <c r="P36" s="10">
        <v>5</v>
      </c>
      <c r="Q36" s="10">
        <v>0</v>
      </c>
      <c r="R36" s="10">
        <v>2</v>
      </c>
      <c r="S36" s="10">
        <v>0</v>
      </c>
      <c r="T36" s="12">
        <v>155</v>
      </c>
      <c r="V36" s="18" t="s">
        <v>38</v>
      </c>
      <c r="W36">
        <v>-2</v>
      </c>
      <c r="X36">
        <v>7</v>
      </c>
      <c r="Y36">
        <v>9</v>
      </c>
      <c r="Z36">
        <v>0</v>
      </c>
      <c r="AA36">
        <v>1</v>
      </c>
    </row>
    <row r="37" spans="1:27" x14ac:dyDescent="0.2">
      <c r="A37" s="2">
        <v>2</v>
      </c>
      <c r="B37" s="3">
        <v>8</v>
      </c>
      <c r="C37" s="3">
        <v>3</v>
      </c>
      <c r="D37" s="3">
        <v>5</v>
      </c>
      <c r="E37" s="3">
        <v>1</v>
      </c>
      <c r="F37" s="3">
        <v>1</v>
      </c>
      <c r="G37" s="3" t="s">
        <v>14</v>
      </c>
      <c r="H37" s="3">
        <v>0</v>
      </c>
      <c r="I37" s="3" t="s">
        <v>27</v>
      </c>
      <c r="J37" s="3">
        <v>1</v>
      </c>
      <c r="K37" s="3">
        <v>1</v>
      </c>
      <c r="L37" s="3">
        <v>9</v>
      </c>
      <c r="M37" s="3" t="s">
        <v>62</v>
      </c>
      <c r="N37" s="4">
        <v>4.3055555555555555E-2</v>
      </c>
      <c r="O37" s="3">
        <v>3</v>
      </c>
      <c r="P37" s="3">
        <v>3</v>
      </c>
      <c r="Q37" s="3">
        <v>1</v>
      </c>
      <c r="R37" s="3">
        <v>0</v>
      </c>
      <c r="S37" s="3">
        <v>1</v>
      </c>
      <c r="T37" s="5">
        <v>62</v>
      </c>
      <c r="V37" s="18" t="s">
        <v>82</v>
      </c>
      <c r="W37">
        <v>-2</v>
      </c>
      <c r="X37">
        <v>1</v>
      </c>
      <c r="Y37">
        <v>3</v>
      </c>
      <c r="Z37">
        <v>1</v>
      </c>
      <c r="AA37">
        <v>0</v>
      </c>
    </row>
    <row r="38" spans="1:27" x14ac:dyDescent="0.2">
      <c r="A38" s="6">
        <v>2</v>
      </c>
      <c r="B38">
        <v>8</v>
      </c>
      <c r="C38">
        <v>3</v>
      </c>
      <c r="D38">
        <v>5</v>
      </c>
      <c r="E38">
        <v>1</v>
      </c>
      <c r="F38">
        <v>1</v>
      </c>
      <c r="G38" t="s">
        <v>14</v>
      </c>
      <c r="H38">
        <v>0</v>
      </c>
      <c r="I38" t="s">
        <v>27</v>
      </c>
      <c r="J38">
        <v>1</v>
      </c>
      <c r="K38">
        <v>1</v>
      </c>
      <c r="L38">
        <v>9</v>
      </c>
      <c r="M38" t="s">
        <v>63</v>
      </c>
      <c r="N38" s="7">
        <v>2.0833333333333332E-2</v>
      </c>
      <c r="O38">
        <v>3</v>
      </c>
      <c r="P38">
        <v>3</v>
      </c>
      <c r="Q38">
        <v>0</v>
      </c>
      <c r="R38">
        <v>0</v>
      </c>
      <c r="S38">
        <v>0</v>
      </c>
      <c r="T38" s="8">
        <v>30</v>
      </c>
      <c r="V38" s="18" t="s">
        <v>45</v>
      </c>
      <c r="W38">
        <v>-2</v>
      </c>
      <c r="X38">
        <v>28</v>
      </c>
      <c r="Y38">
        <v>30</v>
      </c>
      <c r="Z38">
        <v>5</v>
      </c>
      <c r="AA38">
        <v>5</v>
      </c>
    </row>
    <row r="39" spans="1:27" ht="17" thickBot="1" x14ac:dyDescent="0.25">
      <c r="A39" s="9">
        <v>2</v>
      </c>
      <c r="B39" s="10">
        <v>8</v>
      </c>
      <c r="C39" s="10">
        <v>3</v>
      </c>
      <c r="D39" s="10">
        <v>5</v>
      </c>
      <c r="E39" s="10">
        <v>1</v>
      </c>
      <c r="F39" s="10">
        <v>1</v>
      </c>
      <c r="G39" s="10" t="s">
        <v>14</v>
      </c>
      <c r="H39" s="10">
        <v>0</v>
      </c>
      <c r="I39" s="10" t="s">
        <v>27</v>
      </c>
      <c r="J39" s="10">
        <v>1</v>
      </c>
      <c r="K39" s="10">
        <v>1</v>
      </c>
      <c r="L39" s="10">
        <v>9</v>
      </c>
      <c r="M39" s="10" t="s">
        <v>64</v>
      </c>
      <c r="N39" s="11">
        <v>4.4444444444444446E-2</v>
      </c>
      <c r="O39" s="10">
        <v>-1</v>
      </c>
      <c r="P39" s="10">
        <v>2</v>
      </c>
      <c r="Q39" s="10">
        <v>0</v>
      </c>
      <c r="R39" s="10">
        <v>3</v>
      </c>
      <c r="S39" s="10">
        <v>0</v>
      </c>
      <c r="T39" s="12">
        <v>64</v>
      </c>
      <c r="V39" s="18" t="s">
        <v>61</v>
      </c>
      <c r="W39">
        <v>-2</v>
      </c>
      <c r="X39">
        <v>13</v>
      </c>
      <c r="Y39">
        <v>15</v>
      </c>
      <c r="Z39">
        <v>2</v>
      </c>
      <c r="AA39">
        <v>0</v>
      </c>
    </row>
    <row r="40" spans="1:27" ht="17" thickBot="1" x14ac:dyDescent="0.25">
      <c r="A40" s="13">
        <v>9</v>
      </c>
      <c r="B40" s="14">
        <v>13</v>
      </c>
      <c r="C40" s="14">
        <v>3</v>
      </c>
      <c r="D40" s="14">
        <v>10</v>
      </c>
      <c r="E40" s="14">
        <v>1</v>
      </c>
      <c r="F40" s="14">
        <v>1</v>
      </c>
      <c r="G40" s="14" t="s">
        <v>14</v>
      </c>
      <c r="H40" s="14">
        <v>0</v>
      </c>
      <c r="I40" s="14" t="s">
        <v>29</v>
      </c>
      <c r="J40" s="14">
        <v>2</v>
      </c>
      <c r="K40" s="14">
        <v>1</v>
      </c>
      <c r="L40" s="14">
        <v>9</v>
      </c>
      <c r="M40" s="14" t="s">
        <v>57</v>
      </c>
      <c r="N40" s="15">
        <v>0.26319444444444445</v>
      </c>
      <c r="O40" s="14">
        <v>5</v>
      </c>
      <c r="P40" s="14">
        <v>14</v>
      </c>
      <c r="Q40" s="14">
        <v>3</v>
      </c>
      <c r="R40" s="14">
        <v>9</v>
      </c>
      <c r="S40" s="14">
        <v>2</v>
      </c>
      <c r="T40" s="16">
        <v>379</v>
      </c>
      <c r="V40" s="18" t="s">
        <v>85</v>
      </c>
      <c r="W40">
        <v>-3</v>
      </c>
      <c r="X40">
        <v>0</v>
      </c>
      <c r="Y40">
        <v>3</v>
      </c>
      <c r="Z40">
        <v>2</v>
      </c>
      <c r="AA40">
        <v>1</v>
      </c>
    </row>
    <row r="41" spans="1:27" x14ac:dyDescent="0.2">
      <c r="A41" s="2">
        <v>4</v>
      </c>
      <c r="B41" s="3">
        <v>4</v>
      </c>
      <c r="C41" s="3">
        <v>13</v>
      </c>
      <c r="D41" s="3">
        <v>-9</v>
      </c>
      <c r="E41" s="3">
        <v>0</v>
      </c>
      <c r="F41" s="3">
        <v>0</v>
      </c>
      <c r="G41" s="3" t="s">
        <v>17</v>
      </c>
      <c r="H41" s="3">
        <v>0</v>
      </c>
      <c r="I41" s="3" t="s">
        <v>29</v>
      </c>
      <c r="J41" s="3">
        <v>1</v>
      </c>
      <c r="K41" s="3">
        <v>1</v>
      </c>
      <c r="L41" s="3">
        <v>12</v>
      </c>
      <c r="M41" s="3" t="s">
        <v>65</v>
      </c>
      <c r="N41" s="4">
        <v>4.6527777777777779E-2</v>
      </c>
      <c r="O41" s="3">
        <v>-4</v>
      </c>
      <c r="P41" s="3">
        <v>0</v>
      </c>
      <c r="Q41" s="3">
        <v>1</v>
      </c>
      <c r="R41" s="3">
        <v>4</v>
      </c>
      <c r="S41" s="3">
        <v>0</v>
      </c>
      <c r="T41" s="5">
        <v>67</v>
      </c>
      <c r="V41" s="18" t="s">
        <v>84</v>
      </c>
      <c r="W41">
        <v>-3</v>
      </c>
      <c r="X41">
        <v>0</v>
      </c>
      <c r="Y41">
        <v>3</v>
      </c>
      <c r="Z41">
        <v>0</v>
      </c>
      <c r="AA41">
        <v>0</v>
      </c>
    </row>
    <row r="42" spans="1:27" ht="17" thickBot="1" x14ac:dyDescent="0.25">
      <c r="A42" s="9">
        <v>4</v>
      </c>
      <c r="B42" s="10">
        <v>4</v>
      </c>
      <c r="C42" s="10">
        <v>13</v>
      </c>
      <c r="D42" s="10">
        <v>-9</v>
      </c>
      <c r="E42" s="10">
        <v>0</v>
      </c>
      <c r="F42" s="10">
        <v>0</v>
      </c>
      <c r="G42" s="10" t="s">
        <v>17</v>
      </c>
      <c r="H42" s="10">
        <v>0</v>
      </c>
      <c r="I42" s="10" t="s">
        <v>29</v>
      </c>
      <c r="J42" s="10">
        <v>1</v>
      </c>
      <c r="K42" s="10">
        <v>1</v>
      </c>
      <c r="L42" s="10">
        <v>12</v>
      </c>
      <c r="M42" s="10" t="s">
        <v>66</v>
      </c>
      <c r="N42" s="11">
        <v>8.3333333333333329E-2</v>
      </c>
      <c r="O42" s="10">
        <v>-4</v>
      </c>
      <c r="P42" s="10">
        <v>2</v>
      </c>
      <c r="Q42" s="10">
        <v>3</v>
      </c>
      <c r="R42" s="10">
        <v>6</v>
      </c>
      <c r="S42" s="10">
        <v>0</v>
      </c>
      <c r="T42" s="12">
        <v>120</v>
      </c>
      <c r="V42" s="18" t="s">
        <v>58</v>
      </c>
      <c r="W42">
        <v>-4</v>
      </c>
      <c r="X42">
        <v>2</v>
      </c>
      <c r="Y42">
        <v>6</v>
      </c>
      <c r="Z42">
        <v>0</v>
      </c>
      <c r="AA42">
        <v>0</v>
      </c>
    </row>
    <row r="43" spans="1:27" hidden="1" x14ac:dyDescent="0.2">
      <c r="A43" s="2">
        <v>6</v>
      </c>
      <c r="B43" s="3">
        <v>7</v>
      </c>
      <c r="C43" s="3">
        <v>14</v>
      </c>
      <c r="D43" s="3">
        <v>-7</v>
      </c>
      <c r="E43" s="3">
        <v>0</v>
      </c>
      <c r="F43" s="3">
        <v>0</v>
      </c>
      <c r="G43" s="3" t="s">
        <v>17</v>
      </c>
      <c r="H43" s="3">
        <v>0</v>
      </c>
      <c r="I43" s="3" t="s">
        <v>26</v>
      </c>
      <c r="J43" s="3">
        <v>2</v>
      </c>
      <c r="K43" s="3">
        <v>1</v>
      </c>
      <c r="L43" s="3">
        <v>12</v>
      </c>
      <c r="M43" s="3" t="s">
        <v>67</v>
      </c>
      <c r="N43" s="4">
        <v>0.16180555555555556</v>
      </c>
      <c r="O43" s="3">
        <v>-8</v>
      </c>
      <c r="P43" s="3">
        <v>4</v>
      </c>
      <c r="Q43" s="3">
        <v>3</v>
      </c>
      <c r="R43" s="3">
        <v>12</v>
      </c>
      <c r="S43" s="3">
        <v>1</v>
      </c>
      <c r="T43" s="5">
        <v>233</v>
      </c>
      <c r="V43" s="18" t="s">
        <v>65</v>
      </c>
      <c r="W43">
        <v>-4</v>
      </c>
      <c r="X43">
        <v>0</v>
      </c>
      <c r="Y43">
        <v>4</v>
      </c>
      <c r="Z43">
        <v>1</v>
      </c>
      <c r="AA43">
        <v>0</v>
      </c>
    </row>
    <row r="44" spans="1:27" ht="17" hidden="1" thickBot="1" x14ac:dyDescent="0.25">
      <c r="A44" s="9">
        <v>6</v>
      </c>
      <c r="B44" s="10">
        <v>7</v>
      </c>
      <c r="C44" s="10">
        <v>14</v>
      </c>
      <c r="D44" s="10">
        <v>-7</v>
      </c>
      <c r="E44" s="10">
        <v>0</v>
      </c>
      <c r="F44" s="10">
        <v>0</v>
      </c>
      <c r="G44" s="10" t="s">
        <v>17</v>
      </c>
      <c r="H44" s="10">
        <v>0</v>
      </c>
      <c r="I44" s="10" t="s">
        <v>26</v>
      </c>
      <c r="J44" s="10">
        <v>2</v>
      </c>
      <c r="K44" s="10">
        <v>1</v>
      </c>
      <c r="L44" s="10">
        <v>12</v>
      </c>
      <c r="M44" s="10" t="s">
        <v>68</v>
      </c>
      <c r="N44" s="11">
        <v>3.8194444444444448E-2</v>
      </c>
      <c r="O44" s="10">
        <v>1</v>
      </c>
      <c r="P44" s="10">
        <v>3</v>
      </c>
      <c r="Q44" s="10">
        <v>0</v>
      </c>
      <c r="R44" s="10">
        <v>2</v>
      </c>
      <c r="S44" s="10">
        <v>0</v>
      </c>
      <c r="T44" s="12">
        <v>55</v>
      </c>
      <c r="V44" s="18" t="s">
        <v>66</v>
      </c>
      <c r="W44">
        <v>-4</v>
      </c>
      <c r="X44">
        <v>2</v>
      </c>
      <c r="Y44">
        <v>6</v>
      </c>
      <c r="Z44">
        <v>3</v>
      </c>
      <c r="AA44">
        <v>0</v>
      </c>
    </row>
    <row r="45" spans="1:27" hidden="1" x14ac:dyDescent="0.2">
      <c r="A45" s="2">
        <v>5</v>
      </c>
      <c r="B45" s="3">
        <v>8</v>
      </c>
      <c r="C45" s="3">
        <v>4</v>
      </c>
      <c r="D45" s="3">
        <v>4</v>
      </c>
      <c r="E45" s="3">
        <v>1</v>
      </c>
      <c r="F45" s="3">
        <v>0</v>
      </c>
      <c r="G45" s="3" t="s">
        <v>17</v>
      </c>
      <c r="H45" s="3">
        <v>0</v>
      </c>
      <c r="I45" s="3" t="s">
        <v>30</v>
      </c>
      <c r="J45" s="3">
        <v>1</v>
      </c>
      <c r="K45" s="3">
        <v>1</v>
      </c>
      <c r="L45" s="3">
        <v>12</v>
      </c>
      <c r="M45" s="3" t="s">
        <v>45</v>
      </c>
      <c r="N45" s="4">
        <v>0.17083333333333334</v>
      </c>
      <c r="O45" s="3">
        <v>-2</v>
      </c>
      <c r="P45" s="3">
        <v>7</v>
      </c>
      <c r="Q45" s="3">
        <v>1</v>
      </c>
      <c r="R45" s="3">
        <v>9</v>
      </c>
      <c r="S45" s="3">
        <v>1</v>
      </c>
      <c r="T45" s="5">
        <v>246</v>
      </c>
      <c r="V45" s="18" t="s">
        <v>51</v>
      </c>
      <c r="W45">
        <v>-5</v>
      </c>
      <c r="X45">
        <v>1</v>
      </c>
      <c r="Y45">
        <v>6</v>
      </c>
      <c r="Z45">
        <v>1</v>
      </c>
      <c r="AA45">
        <v>0</v>
      </c>
    </row>
    <row r="46" spans="1:27" ht="17" hidden="1" thickBot="1" x14ac:dyDescent="0.25">
      <c r="A46" s="9">
        <v>5</v>
      </c>
      <c r="B46" s="10">
        <v>8</v>
      </c>
      <c r="C46" s="10">
        <v>4</v>
      </c>
      <c r="D46" s="10">
        <v>4</v>
      </c>
      <c r="E46" s="10">
        <v>1</v>
      </c>
      <c r="F46" s="10">
        <v>0</v>
      </c>
      <c r="G46" s="10" t="s">
        <v>17</v>
      </c>
      <c r="H46" s="10">
        <v>0</v>
      </c>
      <c r="I46" s="10" t="s">
        <v>30</v>
      </c>
      <c r="J46" s="10">
        <v>1</v>
      </c>
      <c r="K46" s="10">
        <v>1</v>
      </c>
      <c r="L46" s="10">
        <v>12</v>
      </c>
      <c r="M46" s="10" t="s">
        <v>69</v>
      </c>
      <c r="N46" s="11">
        <v>3.8194444444444448E-2</v>
      </c>
      <c r="O46" s="10">
        <v>1</v>
      </c>
      <c r="P46" s="10">
        <v>3</v>
      </c>
      <c r="Q46" s="10">
        <v>0</v>
      </c>
      <c r="R46" s="10">
        <v>2</v>
      </c>
      <c r="S46" s="10">
        <v>0</v>
      </c>
      <c r="T46" s="12">
        <v>55</v>
      </c>
      <c r="V46" s="18" t="s">
        <v>80</v>
      </c>
      <c r="W46">
        <v>-5</v>
      </c>
      <c r="X46">
        <v>0</v>
      </c>
      <c r="Y46">
        <v>5</v>
      </c>
      <c r="Z46">
        <v>1</v>
      </c>
      <c r="AA46">
        <v>1</v>
      </c>
    </row>
    <row r="47" spans="1:27" hidden="1" x14ac:dyDescent="0.2">
      <c r="A47" s="2">
        <v>9</v>
      </c>
      <c r="B47" s="3">
        <v>12</v>
      </c>
      <c r="C47" s="3">
        <v>7</v>
      </c>
      <c r="D47" s="3">
        <v>5</v>
      </c>
      <c r="E47" s="3">
        <v>1</v>
      </c>
      <c r="F47" s="3">
        <v>0</v>
      </c>
      <c r="G47" s="3" t="s">
        <v>17</v>
      </c>
      <c r="H47" s="3">
        <v>0</v>
      </c>
      <c r="I47" s="3" t="s">
        <v>29</v>
      </c>
      <c r="J47" s="3">
        <v>2</v>
      </c>
      <c r="K47" s="3">
        <v>1</v>
      </c>
      <c r="L47" s="3">
        <v>12</v>
      </c>
      <c r="M47" s="3" t="s">
        <v>70</v>
      </c>
      <c r="N47" s="4">
        <v>1.7361111111111112E-2</v>
      </c>
      <c r="O47" s="3">
        <v>2</v>
      </c>
      <c r="P47" s="3">
        <v>2</v>
      </c>
      <c r="Q47" s="3">
        <v>0</v>
      </c>
      <c r="R47" s="3">
        <v>0</v>
      </c>
      <c r="S47" s="3">
        <v>1</v>
      </c>
      <c r="T47" s="5">
        <v>25</v>
      </c>
      <c r="V47" s="18" t="s">
        <v>79</v>
      </c>
      <c r="W47">
        <v>-6</v>
      </c>
      <c r="X47">
        <v>1</v>
      </c>
      <c r="Y47">
        <v>7</v>
      </c>
      <c r="Z47">
        <v>1</v>
      </c>
      <c r="AA47">
        <v>0</v>
      </c>
    </row>
    <row r="48" spans="1:27" ht="17" hidden="1" thickBot="1" x14ac:dyDescent="0.25">
      <c r="A48" s="9">
        <v>9</v>
      </c>
      <c r="B48" s="10">
        <v>12</v>
      </c>
      <c r="C48" s="10">
        <v>7</v>
      </c>
      <c r="D48" s="10">
        <v>5</v>
      </c>
      <c r="E48" s="10">
        <v>1</v>
      </c>
      <c r="F48" s="10">
        <v>0</v>
      </c>
      <c r="G48" s="10" t="s">
        <v>17</v>
      </c>
      <c r="H48" s="10">
        <v>0</v>
      </c>
      <c r="I48" s="10" t="s">
        <v>29</v>
      </c>
      <c r="J48" s="10">
        <v>2</v>
      </c>
      <c r="K48" s="10">
        <v>1</v>
      </c>
      <c r="L48" s="10">
        <v>12</v>
      </c>
      <c r="M48" s="10" t="s">
        <v>72</v>
      </c>
      <c r="N48" s="11">
        <v>0.23194444444444445</v>
      </c>
      <c r="O48" s="10">
        <v>4</v>
      </c>
      <c r="P48" s="10">
        <v>11</v>
      </c>
      <c r="Q48" s="10">
        <v>2</v>
      </c>
      <c r="R48" s="10">
        <v>7</v>
      </c>
      <c r="S48" s="10">
        <v>2</v>
      </c>
      <c r="T48" s="12">
        <v>334</v>
      </c>
      <c r="V48" s="18" t="s">
        <v>67</v>
      </c>
      <c r="W48">
        <v>-7</v>
      </c>
      <c r="X48">
        <v>7</v>
      </c>
      <c r="Y48">
        <v>14</v>
      </c>
      <c r="Z48">
        <v>4</v>
      </c>
      <c r="AA48">
        <v>1</v>
      </c>
    </row>
    <row r="49" spans="1:27" hidden="1" x14ac:dyDescent="0.2">
      <c r="A49" s="2">
        <v>2</v>
      </c>
      <c r="B49" s="3">
        <v>5</v>
      </c>
      <c r="C49" s="3">
        <v>15</v>
      </c>
      <c r="D49" s="3">
        <v>-10</v>
      </c>
      <c r="E49" s="3">
        <v>0</v>
      </c>
      <c r="F49" s="3">
        <v>1</v>
      </c>
      <c r="G49" s="3" t="s">
        <v>18</v>
      </c>
      <c r="H49" s="3">
        <v>0</v>
      </c>
      <c r="I49" s="3" t="s">
        <v>27</v>
      </c>
      <c r="J49" s="3">
        <v>1</v>
      </c>
      <c r="K49" s="3">
        <v>1</v>
      </c>
      <c r="L49" s="3">
        <v>13</v>
      </c>
      <c r="M49" s="3" t="s">
        <v>71</v>
      </c>
      <c r="N49" s="4">
        <v>7.2222222222222215E-2</v>
      </c>
      <c r="O49" s="3">
        <v>-1</v>
      </c>
      <c r="P49" s="3">
        <v>5</v>
      </c>
      <c r="Q49" s="3">
        <v>0</v>
      </c>
      <c r="R49" s="3">
        <v>6</v>
      </c>
      <c r="S49" s="3">
        <v>1</v>
      </c>
      <c r="T49" s="5">
        <v>104</v>
      </c>
      <c r="V49" s="18" t="s">
        <v>48</v>
      </c>
      <c r="W49">
        <v>-7</v>
      </c>
      <c r="X49">
        <v>0</v>
      </c>
      <c r="Y49">
        <v>7</v>
      </c>
      <c r="Z49">
        <v>0</v>
      </c>
      <c r="AA49">
        <v>0</v>
      </c>
    </row>
    <row r="50" spans="1:27" ht="17" hidden="1" thickBot="1" x14ac:dyDescent="0.25">
      <c r="A50" s="9">
        <v>2</v>
      </c>
      <c r="B50" s="10">
        <v>5</v>
      </c>
      <c r="C50" s="10">
        <v>15</v>
      </c>
      <c r="D50" s="10">
        <v>-10</v>
      </c>
      <c r="E50" s="10">
        <v>0</v>
      </c>
      <c r="F50" s="10">
        <v>1</v>
      </c>
      <c r="G50" s="10" t="s">
        <v>18</v>
      </c>
      <c r="H50" s="10">
        <v>0</v>
      </c>
      <c r="I50" s="10" t="s">
        <v>27</v>
      </c>
      <c r="J50" s="10">
        <v>1</v>
      </c>
      <c r="K50" s="10">
        <v>1</v>
      </c>
      <c r="L50" s="10">
        <v>13</v>
      </c>
      <c r="M50" s="10" t="s">
        <v>73</v>
      </c>
      <c r="N50" s="11">
        <v>8.819444444444445E-2</v>
      </c>
      <c r="O50" s="10">
        <v>-9</v>
      </c>
      <c r="P50" s="10">
        <v>0</v>
      </c>
      <c r="Q50" s="10">
        <v>0</v>
      </c>
      <c r="R50" s="10">
        <v>9</v>
      </c>
      <c r="S50" s="10">
        <v>0</v>
      </c>
      <c r="T50" s="12">
        <v>127</v>
      </c>
      <c r="V50" s="18" t="s">
        <v>73</v>
      </c>
      <c r="W50">
        <v>-9</v>
      </c>
      <c r="X50">
        <v>0</v>
      </c>
      <c r="Y50">
        <v>9</v>
      </c>
      <c r="Z50">
        <v>0</v>
      </c>
      <c r="AA50">
        <v>0</v>
      </c>
    </row>
    <row r="51" spans="1:27" hidden="1" x14ac:dyDescent="0.2">
      <c r="A51" s="2">
        <v>4</v>
      </c>
      <c r="B51" s="3">
        <v>5</v>
      </c>
      <c r="C51" s="3">
        <v>7</v>
      </c>
      <c r="D51" s="3">
        <v>-2</v>
      </c>
      <c r="E51" s="3">
        <v>0</v>
      </c>
      <c r="F51" s="3">
        <v>1</v>
      </c>
      <c r="G51" s="3" t="s">
        <v>18</v>
      </c>
      <c r="H51" s="3">
        <v>0</v>
      </c>
      <c r="I51" s="3" t="s">
        <v>29</v>
      </c>
      <c r="J51" s="3">
        <v>1</v>
      </c>
      <c r="K51" s="3">
        <v>1</v>
      </c>
      <c r="L51" s="3">
        <v>13</v>
      </c>
      <c r="M51" s="3" t="s">
        <v>74</v>
      </c>
      <c r="N51" s="4">
        <v>0.1388888888888889</v>
      </c>
      <c r="O51" s="3">
        <v>-1</v>
      </c>
      <c r="P51" s="3">
        <v>3</v>
      </c>
      <c r="Q51" s="3">
        <v>1</v>
      </c>
      <c r="R51" s="3">
        <v>4</v>
      </c>
      <c r="S51" s="3">
        <v>0</v>
      </c>
      <c r="T51" s="5">
        <v>200</v>
      </c>
      <c r="V51" s="18" t="s">
        <v>92</v>
      </c>
      <c r="W51">
        <v>-1</v>
      </c>
      <c r="X51">
        <v>217</v>
      </c>
      <c r="Y51">
        <v>218</v>
      </c>
      <c r="Z51">
        <v>34</v>
      </c>
      <c r="AA51">
        <v>30</v>
      </c>
    </row>
    <row r="52" spans="1:27" ht="17" hidden="1" thickBot="1" x14ac:dyDescent="0.25">
      <c r="A52" s="9">
        <v>4</v>
      </c>
      <c r="B52" s="10">
        <v>5</v>
      </c>
      <c r="C52" s="10">
        <v>7</v>
      </c>
      <c r="D52" s="10">
        <v>-2</v>
      </c>
      <c r="E52" s="10">
        <v>0</v>
      </c>
      <c r="F52" s="10">
        <v>1</v>
      </c>
      <c r="G52" s="10" t="s">
        <v>18</v>
      </c>
      <c r="H52" s="10">
        <v>0</v>
      </c>
      <c r="I52" s="10" t="s">
        <v>29</v>
      </c>
      <c r="J52" s="10">
        <v>1</v>
      </c>
      <c r="K52" s="10">
        <v>1</v>
      </c>
      <c r="L52" s="10">
        <v>13</v>
      </c>
      <c r="M52" s="10" t="s">
        <v>75</v>
      </c>
      <c r="N52" s="11">
        <v>7.5694444444444439E-2</v>
      </c>
      <c r="O52" s="10">
        <v>1</v>
      </c>
      <c r="P52" s="10">
        <v>4</v>
      </c>
      <c r="Q52" s="10">
        <v>1</v>
      </c>
      <c r="R52" s="10">
        <v>3</v>
      </c>
      <c r="S52" s="10">
        <v>1</v>
      </c>
      <c r="T52" s="12">
        <v>109</v>
      </c>
    </row>
    <row r="53" spans="1:27" hidden="1" x14ac:dyDescent="0.2">
      <c r="A53" s="2">
        <v>8</v>
      </c>
      <c r="B53" s="3">
        <v>7</v>
      </c>
      <c r="C53" s="3">
        <v>2</v>
      </c>
      <c r="D53" s="3">
        <v>5</v>
      </c>
      <c r="E53" s="3">
        <v>1</v>
      </c>
      <c r="F53" s="3">
        <v>1</v>
      </c>
      <c r="G53" s="3" t="s">
        <v>18</v>
      </c>
      <c r="H53" s="3">
        <v>0</v>
      </c>
      <c r="I53" s="3" t="s">
        <v>28</v>
      </c>
      <c r="J53" s="3">
        <v>2</v>
      </c>
      <c r="K53" s="3">
        <v>1</v>
      </c>
      <c r="L53" s="3">
        <v>13</v>
      </c>
      <c r="M53" s="3" t="s">
        <v>76</v>
      </c>
      <c r="N53" s="4">
        <v>5.8333333333333334E-2</v>
      </c>
      <c r="O53" s="3">
        <v>4</v>
      </c>
      <c r="P53" s="3">
        <v>4</v>
      </c>
      <c r="Q53" s="3">
        <v>0</v>
      </c>
      <c r="R53" s="3">
        <v>0</v>
      </c>
      <c r="S53" s="3">
        <v>1</v>
      </c>
      <c r="T53" s="5">
        <v>84</v>
      </c>
    </row>
    <row r="54" spans="1:27" ht="17" hidden="1" thickBot="1" x14ac:dyDescent="0.25">
      <c r="A54" s="9">
        <v>8</v>
      </c>
      <c r="B54" s="10">
        <v>7</v>
      </c>
      <c r="C54" s="10">
        <v>2</v>
      </c>
      <c r="D54" s="10">
        <v>5</v>
      </c>
      <c r="E54" s="10">
        <v>1</v>
      </c>
      <c r="F54" s="10">
        <v>1</v>
      </c>
      <c r="G54" s="10" t="s">
        <v>18</v>
      </c>
      <c r="H54" s="10">
        <v>0</v>
      </c>
      <c r="I54" s="10" t="s">
        <v>28</v>
      </c>
      <c r="J54" s="10">
        <v>2</v>
      </c>
      <c r="K54" s="10">
        <v>1</v>
      </c>
      <c r="L54" s="10">
        <v>13</v>
      </c>
      <c r="M54" s="10" t="s">
        <v>67</v>
      </c>
      <c r="N54" s="11">
        <v>6.8750000000000006E-2</v>
      </c>
      <c r="O54" s="10">
        <v>1</v>
      </c>
      <c r="P54" s="10">
        <v>3</v>
      </c>
      <c r="Q54" s="10">
        <v>1</v>
      </c>
      <c r="R54" s="10">
        <v>2</v>
      </c>
      <c r="S54" s="10">
        <v>0</v>
      </c>
      <c r="T54" s="12">
        <v>99</v>
      </c>
    </row>
    <row r="55" spans="1:27" hidden="1" x14ac:dyDescent="0.2">
      <c r="A55" s="2">
        <v>9</v>
      </c>
      <c r="B55" s="3">
        <v>11</v>
      </c>
      <c r="C55" s="3">
        <v>0</v>
      </c>
      <c r="D55" s="3">
        <v>11</v>
      </c>
      <c r="E55" s="3">
        <v>1</v>
      </c>
      <c r="F55" s="3">
        <v>1</v>
      </c>
      <c r="G55" s="3" t="s">
        <v>18</v>
      </c>
      <c r="H55" s="3">
        <v>0</v>
      </c>
      <c r="I55" s="3" t="s">
        <v>29</v>
      </c>
      <c r="J55" s="3">
        <v>2</v>
      </c>
      <c r="K55" s="3">
        <v>1</v>
      </c>
      <c r="L55" s="3">
        <v>13</v>
      </c>
      <c r="M55" s="3" t="s">
        <v>77</v>
      </c>
      <c r="N55" s="4">
        <v>5.8333333333333334E-2</v>
      </c>
      <c r="O55" s="3">
        <v>5</v>
      </c>
      <c r="P55" s="3">
        <v>5</v>
      </c>
      <c r="Q55" s="3">
        <v>0</v>
      </c>
      <c r="R55" s="3">
        <v>0</v>
      </c>
      <c r="S55" s="3">
        <v>1</v>
      </c>
      <c r="T55" s="5">
        <v>84</v>
      </c>
    </row>
    <row r="56" spans="1:27" hidden="1" x14ac:dyDescent="0.2">
      <c r="A56" s="6">
        <v>9</v>
      </c>
      <c r="B56">
        <v>11</v>
      </c>
      <c r="C56">
        <v>0</v>
      </c>
      <c r="D56">
        <v>11</v>
      </c>
      <c r="E56">
        <v>1</v>
      </c>
      <c r="F56">
        <v>1</v>
      </c>
      <c r="G56" t="s">
        <v>18</v>
      </c>
      <c r="H56">
        <v>0</v>
      </c>
      <c r="I56" t="s">
        <v>29</v>
      </c>
      <c r="J56">
        <v>2</v>
      </c>
      <c r="K56">
        <v>1</v>
      </c>
      <c r="L56">
        <v>13</v>
      </c>
      <c r="M56" t="s">
        <v>78</v>
      </c>
      <c r="N56" s="7">
        <v>0</v>
      </c>
      <c r="O56">
        <v>1</v>
      </c>
      <c r="P56">
        <v>1</v>
      </c>
      <c r="Q56">
        <v>0</v>
      </c>
      <c r="R56">
        <v>0</v>
      </c>
      <c r="S56">
        <v>0</v>
      </c>
      <c r="T56" s="8">
        <v>0</v>
      </c>
    </row>
    <row r="57" spans="1:27" hidden="1" x14ac:dyDescent="0.2">
      <c r="A57" s="6">
        <v>9</v>
      </c>
      <c r="B57">
        <v>11</v>
      </c>
      <c r="C57">
        <v>0</v>
      </c>
      <c r="D57">
        <v>11</v>
      </c>
      <c r="E57">
        <v>1</v>
      </c>
      <c r="F57">
        <v>1</v>
      </c>
      <c r="G57" t="s">
        <v>18</v>
      </c>
      <c r="H57">
        <v>0</v>
      </c>
      <c r="I57" t="s">
        <v>29</v>
      </c>
      <c r="J57">
        <v>2</v>
      </c>
      <c r="K57">
        <v>1</v>
      </c>
      <c r="L57">
        <v>13</v>
      </c>
      <c r="M57" t="s">
        <v>72</v>
      </c>
      <c r="N57" s="7">
        <v>5.7638888888888892E-2</v>
      </c>
      <c r="O57">
        <v>2</v>
      </c>
      <c r="P57">
        <v>2</v>
      </c>
      <c r="Q57">
        <v>0</v>
      </c>
      <c r="R57">
        <v>0</v>
      </c>
      <c r="S57">
        <v>0</v>
      </c>
      <c r="T57" s="8">
        <v>83</v>
      </c>
    </row>
    <row r="58" spans="1:27" ht="17" hidden="1" thickBot="1" x14ac:dyDescent="0.25">
      <c r="A58" s="9">
        <v>9</v>
      </c>
      <c r="B58" s="10">
        <v>11</v>
      </c>
      <c r="C58" s="10">
        <v>0</v>
      </c>
      <c r="D58" s="10">
        <v>11</v>
      </c>
      <c r="E58" s="10">
        <v>1</v>
      </c>
      <c r="F58" s="10">
        <v>1</v>
      </c>
      <c r="G58" s="10" t="s">
        <v>18</v>
      </c>
      <c r="H58" s="10">
        <v>0</v>
      </c>
      <c r="I58" s="10" t="s">
        <v>29</v>
      </c>
      <c r="J58" s="10">
        <v>2</v>
      </c>
      <c r="K58" s="10">
        <v>1</v>
      </c>
      <c r="L58" s="10">
        <v>13</v>
      </c>
      <c r="M58" s="10" t="s">
        <v>78</v>
      </c>
      <c r="N58" s="11">
        <v>2.2916666666666665E-2</v>
      </c>
      <c r="O58" s="10">
        <v>3</v>
      </c>
      <c r="P58" s="10">
        <v>3</v>
      </c>
      <c r="Q58" s="10">
        <v>0</v>
      </c>
      <c r="R58" s="10">
        <v>0</v>
      </c>
      <c r="S58" s="10">
        <v>0</v>
      </c>
      <c r="T58" s="12">
        <v>33</v>
      </c>
    </row>
    <row r="59" spans="1:27" hidden="1" x14ac:dyDescent="0.2">
      <c r="A59" s="2">
        <v>1</v>
      </c>
      <c r="B59" s="3">
        <v>3</v>
      </c>
      <c r="C59" s="3">
        <v>13</v>
      </c>
      <c r="D59" s="3">
        <v>-10</v>
      </c>
      <c r="E59" s="3">
        <v>0</v>
      </c>
      <c r="F59" s="3">
        <v>0</v>
      </c>
      <c r="G59" s="3" t="s">
        <v>20</v>
      </c>
      <c r="H59" s="3">
        <v>1</v>
      </c>
      <c r="I59" s="3" t="s">
        <v>26</v>
      </c>
      <c r="J59" s="3">
        <v>1</v>
      </c>
      <c r="K59" s="3">
        <v>1</v>
      </c>
      <c r="L59" s="3">
        <v>15</v>
      </c>
      <c r="M59" s="3" t="s">
        <v>61</v>
      </c>
      <c r="N59" s="4">
        <v>9.0277777777777776E-2</v>
      </c>
      <c r="O59" s="3">
        <v>-3</v>
      </c>
      <c r="P59" s="3">
        <v>2</v>
      </c>
      <c r="Q59" s="3">
        <v>1</v>
      </c>
      <c r="R59" s="3">
        <v>5</v>
      </c>
      <c r="S59" s="3">
        <v>0</v>
      </c>
      <c r="T59" s="5">
        <v>130</v>
      </c>
    </row>
    <row r="60" spans="1:27" ht="17" hidden="1" thickBot="1" x14ac:dyDescent="0.25">
      <c r="A60" s="9">
        <v>1</v>
      </c>
      <c r="B60" s="10">
        <v>3</v>
      </c>
      <c r="C60" s="10">
        <v>13</v>
      </c>
      <c r="D60" s="10">
        <v>-10</v>
      </c>
      <c r="E60" s="10">
        <v>0</v>
      </c>
      <c r="F60" s="10">
        <v>0</v>
      </c>
      <c r="G60" s="10" t="s">
        <v>20</v>
      </c>
      <c r="H60" s="10">
        <v>1</v>
      </c>
      <c r="I60" s="10" t="s">
        <v>26</v>
      </c>
      <c r="J60" s="10">
        <v>1</v>
      </c>
      <c r="K60" s="10">
        <v>1</v>
      </c>
      <c r="L60" s="10">
        <v>15</v>
      </c>
      <c r="M60" s="10" t="s">
        <v>79</v>
      </c>
      <c r="N60" s="11">
        <v>8.2638888888888887E-2</v>
      </c>
      <c r="O60" s="10">
        <v>-6</v>
      </c>
      <c r="P60" s="10">
        <v>1</v>
      </c>
      <c r="Q60" s="10">
        <v>1</v>
      </c>
      <c r="R60" s="10">
        <v>7</v>
      </c>
      <c r="S60" s="10">
        <v>0</v>
      </c>
      <c r="T60" s="12">
        <v>119</v>
      </c>
    </row>
    <row r="61" spans="1:27" hidden="1" x14ac:dyDescent="0.2">
      <c r="A61" s="2">
        <v>2</v>
      </c>
      <c r="B61" s="3">
        <v>5</v>
      </c>
      <c r="C61" s="3">
        <v>9</v>
      </c>
      <c r="D61" s="3">
        <v>-4</v>
      </c>
      <c r="E61" s="3">
        <v>0</v>
      </c>
      <c r="F61" s="3">
        <v>0</v>
      </c>
      <c r="G61" s="3" t="s">
        <v>20</v>
      </c>
      <c r="H61" s="3">
        <v>1</v>
      </c>
      <c r="I61" s="3" t="s">
        <v>27</v>
      </c>
      <c r="J61" s="3">
        <v>1</v>
      </c>
      <c r="K61" s="3">
        <v>1</v>
      </c>
      <c r="L61" s="3">
        <v>15</v>
      </c>
      <c r="M61" s="3" t="s">
        <v>80</v>
      </c>
      <c r="N61" s="4">
        <v>7.5694444444444439E-2</v>
      </c>
      <c r="O61" s="3">
        <v>-5</v>
      </c>
      <c r="P61" s="3">
        <v>0</v>
      </c>
      <c r="Q61" s="3">
        <v>1</v>
      </c>
      <c r="R61" s="3">
        <v>5</v>
      </c>
      <c r="S61" s="3">
        <v>1</v>
      </c>
      <c r="T61" s="5">
        <v>109</v>
      </c>
    </row>
    <row r="62" spans="1:27" hidden="1" x14ac:dyDescent="0.2">
      <c r="A62" s="6">
        <v>2</v>
      </c>
      <c r="B62">
        <v>5</v>
      </c>
      <c r="C62">
        <v>9</v>
      </c>
      <c r="D62">
        <v>-4</v>
      </c>
      <c r="E62">
        <v>0</v>
      </c>
      <c r="F62">
        <v>0</v>
      </c>
      <c r="G62" t="s">
        <v>20</v>
      </c>
      <c r="H62">
        <v>1</v>
      </c>
      <c r="I62" t="s">
        <v>27</v>
      </c>
      <c r="J62">
        <v>1</v>
      </c>
      <c r="K62">
        <v>1</v>
      </c>
      <c r="L62">
        <v>15</v>
      </c>
      <c r="M62" t="s">
        <v>81</v>
      </c>
      <c r="N62" s="7">
        <v>6.3194444444444442E-2</v>
      </c>
      <c r="O62">
        <v>4</v>
      </c>
      <c r="P62">
        <v>4</v>
      </c>
      <c r="Q62">
        <v>0</v>
      </c>
      <c r="R62">
        <v>0</v>
      </c>
      <c r="S62">
        <v>0</v>
      </c>
      <c r="T62" s="8">
        <v>91</v>
      </c>
    </row>
    <row r="63" spans="1:27" ht="17" hidden="1" thickBot="1" x14ac:dyDescent="0.25">
      <c r="A63" s="9">
        <v>2</v>
      </c>
      <c r="B63" s="10">
        <v>5</v>
      </c>
      <c r="C63" s="10">
        <v>9</v>
      </c>
      <c r="D63" s="10">
        <v>-4</v>
      </c>
      <c r="E63" s="10">
        <v>0</v>
      </c>
      <c r="F63" s="10">
        <v>0</v>
      </c>
      <c r="G63" s="10" t="s">
        <v>20</v>
      </c>
      <c r="H63" s="10">
        <v>1</v>
      </c>
      <c r="I63" s="10" t="s">
        <v>27</v>
      </c>
      <c r="J63" s="10">
        <v>1</v>
      </c>
      <c r="K63" s="10">
        <v>1</v>
      </c>
      <c r="L63" s="10">
        <v>15</v>
      </c>
      <c r="M63" s="10" t="s">
        <v>82</v>
      </c>
      <c r="N63" s="11">
        <v>3.0555555555555555E-2</v>
      </c>
      <c r="O63" s="10">
        <v>-2</v>
      </c>
      <c r="P63" s="10">
        <v>1</v>
      </c>
      <c r="Q63" s="10">
        <v>1</v>
      </c>
      <c r="R63" s="10">
        <v>3</v>
      </c>
      <c r="S63" s="10">
        <v>0</v>
      </c>
      <c r="T63" s="12">
        <v>44</v>
      </c>
    </row>
    <row r="64" spans="1:27" hidden="1" x14ac:dyDescent="0.2">
      <c r="A64" s="2">
        <v>6</v>
      </c>
      <c r="B64" s="3">
        <v>15</v>
      </c>
      <c r="C64" s="3">
        <v>12</v>
      </c>
      <c r="D64" s="3">
        <v>3</v>
      </c>
      <c r="E64" s="3">
        <v>1</v>
      </c>
      <c r="F64" s="3">
        <v>0</v>
      </c>
      <c r="G64" s="3" t="s">
        <v>20</v>
      </c>
      <c r="H64" s="3">
        <v>1</v>
      </c>
      <c r="I64" s="3" t="s">
        <v>26</v>
      </c>
      <c r="J64" s="3">
        <v>2</v>
      </c>
      <c r="K64" s="3">
        <v>1</v>
      </c>
      <c r="L64" s="3">
        <v>15</v>
      </c>
      <c r="M64" s="3" t="s">
        <v>61</v>
      </c>
      <c r="N64" s="4">
        <v>9.930555555555555E-2</v>
      </c>
      <c r="O64" s="3">
        <v>1</v>
      </c>
      <c r="P64" s="3">
        <v>6</v>
      </c>
      <c r="Q64" s="3">
        <v>0</v>
      </c>
      <c r="R64" s="3">
        <v>5</v>
      </c>
      <c r="S64" s="3">
        <v>0</v>
      </c>
      <c r="T64" s="5">
        <v>143</v>
      </c>
    </row>
    <row r="65" spans="1:20" ht="17" hidden="1" thickBot="1" x14ac:dyDescent="0.25">
      <c r="A65" s="9">
        <v>6</v>
      </c>
      <c r="B65" s="10">
        <v>15</v>
      </c>
      <c r="C65" s="10">
        <v>12</v>
      </c>
      <c r="D65" s="10">
        <v>3</v>
      </c>
      <c r="E65" s="10">
        <v>1</v>
      </c>
      <c r="F65" s="10">
        <v>0</v>
      </c>
      <c r="G65" s="10" t="s">
        <v>20</v>
      </c>
      <c r="H65" s="10">
        <v>1</v>
      </c>
      <c r="I65" s="10" t="s">
        <v>26</v>
      </c>
      <c r="J65" s="10">
        <v>2</v>
      </c>
      <c r="K65" s="10">
        <v>1</v>
      </c>
      <c r="L65" s="10">
        <v>15</v>
      </c>
      <c r="M65" s="10" t="s">
        <v>53</v>
      </c>
      <c r="N65" s="11">
        <v>0.15694444444444444</v>
      </c>
      <c r="O65" s="10">
        <v>4</v>
      </c>
      <c r="P65" s="10">
        <v>9</v>
      </c>
      <c r="Q65" s="10">
        <v>0</v>
      </c>
      <c r="R65" s="10">
        <v>5</v>
      </c>
      <c r="S65" s="10">
        <v>1</v>
      </c>
      <c r="T65" s="12">
        <v>226</v>
      </c>
    </row>
    <row r="66" spans="1:20" hidden="1" x14ac:dyDescent="0.2">
      <c r="A66" s="2">
        <v>8</v>
      </c>
      <c r="B66" s="3">
        <v>11</v>
      </c>
      <c r="C66" s="3">
        <v>5</v>
      </c>
      <c r="D66" s="3">
        <v>6</v>
      </c>
      <c r="E66" s="3">
        <v>1</v>
      </c>
      <c r="F66" s="3">
        <v>0</v>
      </c>
      <c r="G66" s="3" t="s">
        <v>20</v>
      </c>
      <c r="H66" s="3">
        <v>1</v>
      </c>
      <c r="I66" s="3" t="s">
        <v>28</v>
      </c>
      <c r="J66" s="3">
        <v>2</v>
      </c>
      <c r="K66" s="3">
        <v>1</v>
      </c>
      <c r="L66" s="3">
        <v>15</v>
      </c>
      <c r="M66" s="3" t="s">
        <v>83</v>
      </c>
      <c r="N66" s="4">
        <v>1.3888888888888888E-2</v>
      </c>
      <c r="O66" s="3">
        <v>2</v>
      </c>
      <c r="P66" s="3">
        <v>2</v>
      </c>
      <c r="Q66" s="3">
        <v>0</v>
      </c>
      <c r="R66" s="3">
        <v>0</v>
      </c>
      <c r="S66" s="3">
        <v>0</v>
      </c>
      <c r="T66" s="5">
        <v>20</v>
      </c>
    </row>
    <row r="67" spans="1:20" ht="17" hidden="1" thickBot="1" x14ac:dyDescent="0.25">
      <c r="A67" s="9">
        <v>8</v>
      </c>
      <c r="B67" s="10">
        <v>11</v>
      </c>
      <c r="C67" s="10">
        <v>5</v>
      </c>
      <c r="D67" s="10">
        <v>6</v>
      </c>
      <c r="E67" s="10">
        <v>1</v>
      </c>
      <c r="F67" s="10">
        <v>0</v>
      </c>
      <c r="G67" s="10" t="s">
        <v>20</v>
      </c>
      <c r="H67" s="10">
        <v>1</v>
      </c>
      <c r="I67" s="10" t="s">
        <v>28</v>
      </c>
      <c r="J67" s="10">
        <v>2</v>
      </c>
      <c r="K67" s="10">
        <v>1</v>
      </c>
      <c r="L67" s="10">
        <v>15</v>
      </c>
      <c r="M67" s="10" t="s">
        <v>45</v>
      </c>
      <c r="N67" s="11">
        <v>9.0277777777777776E-2</v>
      </c>
      <c r="O67" s="10">
        <v>4</v>
      </c>
      <c r="P67" s="10">
        <v>6</v>
      </c>
      <c r="Q67" s="10">
        <v>0</v>
      </c>
      <c r="R67" s="10">
        <v>2</v>
      </c>
      <c r="S67" s="10">
        <v>0</v>
      </c>
      <c r="T67" s="12">
        <v>130</v>
      </c>
    </row>
    <row r="68" spans="1:20" hidden="1" x14ac:dyDescent="0.2">
      <c r="A68" s="2">
        <v>3</v>
      </c>
      <c r="B68" s="3">
        <v>5</v>
      </c>
      <c r="C68" s="3">
        <v>14</v>
      </c>
      <c r="D68" s="3">
        <v>-9</v>
      </c>
      <c r="E68" s="3">
        <v>0</v>
      </c>
      <c r="F68" s="3">
        <v>0</v>
      </c>
      <c r="G68" s="3" t="s">
        <v>21</v>
      </c>
      <c r="H68" s="3">
        <v>1</v>
      </c>
      <c r="I68" s="3" t="s">
        <v>28</v>
      </c>
      <c r="J68" s="3">
        <v>1</v>
      </c>
      <c r="K68" s="3">
        <v>1</v>
      </c>
      <c r="L68" s="3">
        <v>16</v>
      </c>
      <c r="M68" s="3" t="s">
        <v>61</v>
      </c>
      <c r="N68" s="4">
        <v>3.6111111111111108E-2</v>
      </c>
      <c r="O68" s="3">
        <v>-3</v>
      </c>
      <c r="P68" s="3">
        <v>0</v>
      </c>
      <c r="Q68" s="3">
        <v>1</v>
      </c>
      <c r="R68" s="3">
        <v>3</v>
      </c>
      <c r="S68" s="3">
        <v>0</v>
      </c>
      <c r="T68" s="5">
        <v>52</v>
      </c>
    </row>
    <row r="69" spans="1:20" x14ac:dyDescent="0.2">
      <c r="A69" s="6">
        <v>3</v>
      </c>
      <c r="B69">
        <v>5</v>
      </c>
      <c r="C69">
        <v>14</v>
      </c>
      <c r="D69">
        <v>-9</v>
      </c>
      <c r="E69">
        <v>0</v>
      </c>
      <c r="F69">
        <v>0</v>
      </c>
      <c r="G69" t="s">
        <v>21</v>
      </c>
      <c r="H69">
        <v>1</v>
      </c>
      <c r="I69" t="s">
        <v>28</v>
      </c>
      <c r="J69">
        <v>1</v>
      </c>
      <c r="K69">
        <v>1</v>
      </c>
      <c r="L69">
        <v>16</v>
      </c>
      <c r="M69" t="s">
        <v>84</v>
      </c>
      <c r="N69" s="7">
        <v>3.4722222222222224E-2</v>
      </c>
      <c r="O69">
        <v>-3</v>
      </c>
      <c r="P69">
        <v>0</v>
      </c>
      <c r="Q69">
        <v>0</v>
      </c>
      <c r="R69">
        <v>3</v>
      </c>
      <c r="S69">
        <v>0</v>
      </c>
      <c r="T69" s="8">
        <v>50</v>
      </c>
    </row>
    <row r="70" spans="1:20" ht="17" thickBot="1" x14ac:dyDescent="0.25">
      <c r="A70" s="9">
        <v>3</v>
      </c>
      <c r="B70" s="10">
        <v>5</v>
      </c>
      <c r="C70" s="10">
        <v>14</v>
      </c>
      <c r="D70" s="10">
        <v>-9</v>
      </c>
      <c r="E70" s="10">
        <v>0</v>
      </c>
      <c r="F70" s="10">
        <v>0</v>
      </c>
      <c r="G70" s="10" t="s">
        <v>21</v>
      </c>
      <c r="H70" s="10">
        <v>1</v>
      </c>
      <c r="I70" s="10" t="s">
        <v>28</v>
      </c>
      <c r="J70" s="10">
        <v>1</v>
      </c>
      <c r="K70" s="10">
        <v>1</v>
      </c>
      <c r="L70" s="10">
        <v>16</v>
      </c>
      <c r="M70" s="10" t="s">
        <v>85</v>
      </c>
      <c r="N70" s="11">
        <v>3.3333333333333333E-2</v>
      </c>
      <c r="O70" s="10">
        <v>-3</v>
      </c>
      <c r="P70" s="10">
        <v>0</v>
      </c>
      <c r="Q70" s="10">
        <v>2</v>
      </c>
      <c r="R70" s="10">
        <v>3</v>
      </c>
      <c r="S70" s="10">
        <v>1</v>
      </c>
      <c r="T70" s="12">
        <v>48</v>
      </c>
    </row>
    <row r="71" spans="1:20" hidden="1" x14ac:dyDescent="0.2">
      <c r="A71" s="2">
        <v>8</v>
      </c>
      <c r="B71" s="3">
        <v>5</v>
      </c>
      <c r="C71" s="3">
        <v>10</v>
      </c>
      <c r="D71" s="3">
        <v>-5</v>
      </c>
      <c r="E71" s="3">
        <v>0</v>
      </c>
      <c r="F71" s="3">
        <v>0</v>
      </c>
      <c r="G71" s="3" t="s">
        <v>21</v>
      </c>
      <c r="H71" s="3">
        <v>1</v>
      </c>
      <c r="I71" s="3" t="s">
        <v>28</v>
      </c>
      <c r="J71" s="3">
        <v>2</v>
      </c>
      <c r="K71" s="3">
        <v>1</v>
      </c>
      <c r="L71" s="3">
        <v>16</v>
      </c>
      <c r="M71" s="3" t="s">
        <v>86</v>
      </c>
      <c r="N71" s="4">
        <v>6.3888888888888884E-2</v>
      </c>
      <c r="O71" s="3">
        <v>0</v>
      </c>
      <c r="P71" s="3">
        <v>2</v>
      </c>
      <c r="Q71" s="3">
        <v>2</v>
      </c>
      <c r="R71" s="3">
        <v>2</v>
      </c>
      <c r="S71" s="3">
        <v>1</v>
      </c>
      <c r="T71" s="5">
        <v>92</v>
      </c>
    </row>
    <row r="72" spans="1:20" hidden="1" x14ac:dyDescent="0.2">
      <c r="A72" s="6">
        <v>8</v>
      </c>
      <c r="B72">
        <v>5</v>
      </c>
      <c r="C72">
        <v>10</v>
      </c>
      <c r="D72">
        <v>-5</v>
      </c>
      <c r="E72">
        <v>0</v>
      </c>
      <c r="F72">
        <v>0</v>
      </c>
      <c r="G72" t="s">
        <v>21</v>
      </c>
      <c r="H72">
        <v>1</v>
      </c>
      <c r="I72" t="s">
        <v>28</v>
      </c>
      <c r="J72">
        <v>2</v>
      </c>
      <c r="K72">
        <v>1</v>
      </c>
      <c r="L72">
        <v>16</v>
      </c>
      <c r="M72" t="s">
        <v>45</v>
      </c>
      <c r="N72" s="7">
        <v>3.5416666666666666E-2</v>
      </c>
      <c r="O72">
        <v>-2</v>
      </c>
      <c r="P72">
        <v>2</v>
      </c>
      <c r="Q72">
        <v>0</v>
      </c>
      <c r="R72">
        <v>4</v>
      </c>
      <c r="S72">
        <v>0</v>
      </c>
      <c r="T72" s="8">
        <v>51</v>
      </c>
    </row>
    <row r="73" spans="1:20" ht="17" hidden="1" thickBot="1" x14ac:dyDescent="0.25">
      <c r="A73" s="9">
        <v>8</v>
      </c>
      <c r="B73" s="10">
        <v>5</v>
      </c>
      <c r="C73" s="10">
        <v>10</v>
      </c>
      <c r="D73" s="10">
        <v>-5</v>
      </c>
      <c r="E73" s="10">
        <v>0</v>
      </c>
      <c r="F73" s="10">
        <v>0</v>
      </c>
      <c r="G73" s="10" t="s">
        <v>21</v>
      </c>
      <c r="H73" s="10">
        <v>1</v>
      </c>
      <c r="I73" s="10" t="s">
        <v>28</v>
      </c>
      <c r="J73" s="10">
        <v>2</v>
      </c>
      <c r="K73" s="10">
        <v>1</v>
      </c>
      <c r="L73" s="10">
        <v>16</v>
      </c>
      <c r="M73" s="10" t="s">
        <v>53</v>
      </c>
      <c r="N73" s="11">
        <v>6.9444444444444448E-2</v>
      </c>
      <c r="O73" s="10">
        <v>-3</v>
      </c>
      <c r="P73" s="10">
        <v>1</v>
      </c>
      <c r="Q73" s="10">
        <v>0</v>
      </c>
      <c r="R73" s="10">
        <v>4</v>
      </c>
      <c r="S73" s="10">
        <v>0</v>
      </c>
      <c r="T73" s="12">
        <v>100</v>
      </c>
    </row>
    <row r="74" spans="1:20" hidden="1" x14ac:dyDescent="0.2">
      <c r="A74" s="2">
        <v>7</v>
      </c>
      <c r="B74" s="3">
        <v>8</v>
      </c>
      <c r="C74" s="3">
        <v>7</v>
      </c>
      <c r="D74" s="3">
        <v>1</v>
      </c>
      <c r="E74" s="3">
        <v>1</v>
      </c>
      <c r="F74" s="3">
        <v>0</v>
      </c>
      <c r="G74" s="3" t="s">
        <v>21</v>
      </c>
      <c r="H74" s="3">
        <v>1</v>
      </c>
      <c r="I74" s="3" t="s">
        <v>27</v>
      </c>
      <c r="J74" s="3">
        <v>2</v>
      </c>
      <c r="K74" s="3">
        <v>1</v>
      </c>
      <c r="L74" s="3">
        <v>16</v>
      </c>
      <c r="M74" s="3" t="s">
        <v>44</v>
      </c>
      <c r="N74" s="4">
        <v>2.9166666666666667E-2</v>
      </c>
      <c r="O74" s="3">
        <v>2</v>
      </c>
      <c r="P74" s="3">
        <v>4</v>
      </c>
      <c r="Q74" s="3">
        <v>0</v>
      </c>
      <c r="R74" s="3">
        <v>2</v>
      </c>
      <c r="S74" s="3">
        <v>0</v>
      </c>
      <c r="T74" s="5">
        <v>42</v>
      </c>
    </row>
    <row r="75" spans="1:20" hidden="1" x14ac:dyDescent="0.2">
      <c r="A75" s="6">
        <v>7</v>
      </c>
      <c r="B75">
        <v>8</v>
      </c>
      <c r="C75">
        <v>7</v>
      </c>
      <c r="D75">
        <v>1</v>
      </c>
      <c r="E75">
        <v>1</v>
      </c>
      <c r="F75">
        <v>0</v>
      </c>
      <c r="G75" t="s">
        <v>21</v>
      </c>
      <c r="H75">
        <v>1</v>
      </c>
      <c r="I75" t="s">
        <v>27</v>
      </c>
      <c r="J75">
        <v>2</v>
      </c>
      <c r="K75">
        <v>1</v>
      </c>
      <c r="L75">
        <v>16</v>
      </c>
      <c r="M75" t="s">
        <v>87</v>
      </c>
      <c r="N75" s="7">
        <v>1.8055555555555554E-2</v>
      </c>
      <c r="O75">
        <v>1</v>
      </c>
      <c r="P75">
        <v>1</v>
      </c>
      <c r="Q75">
        <v>0</v>
      </c>
      <c r="R75">
        <v>0</v>
      </c>
      <c r="S75">
        <v>0</v>
      </c>
      <c r="T75" s="8">
        <v>26</v>
      </c>
    </row>
    <row r="76" spans="1:20" hidden="1" x14ac:dyDescent="0.2">
      <c r="A76" s="6">
        <v>7</v>
      </c>
      <c r="B76">
        <v>8</v>
      </c>
      <c r="C76">
        <v>7</v>
      </c>
      <c r="D76">
        <v>1</v>
      </c>
      <c r="E76">
        <v>1</v>
      </c>
      <c r="F76">
        <v>0</v>
      </c>
      <c r="G76" t="s">
        <v>21</v>
      </c>
      <c r="H76">
        <v>1</v>
      </c>
      <c r="I76" t="s">
        <v>27</v>
      </c>
      <c r="J76">
        <v>2</v>
      </c>
      <c r="K76">
        <v>1</v>
      </c>
      <c r="L76">
        <v>16</v>
      </c>
      <c r="M76" t="s">
        <v>88</v>
      </c>
      <c r="N76" s="7">
        <v>3.4027777777777775E-2</v>
      </c>
      <c r="O76">
        <v>1</v>
      </c>
      <c r="P76">
        <v>3</v>
      </c>
      <c r="Q76">
        <v>0</v>
      </c>
      <c r="R76">
        <v>2</v>
      </c>
      <c r="S76">
        <v>1</v>
      </c>
      <c r="T76" s="8">
        <v>49</v>
      </c>
    </row>
    <row r="77" spans="1:20" ht="17" hidden="1" thickBot="1" x14ac:dyDescent="0.25">
      <c r="A77" s="9">
        <v>7</v>
      </c>
      <c r="B77" s="10">
        <v>8</v>
      </c>
      <c r="C77" s="10">
        <v>7</v>
      </c>
      <c r="D77" s="10">
        <v>1</v>
      </c>
      <c r="E77" s="10">
        <v>1</v>
      </c>
      <c r="F77" s="10">
        <v>0</v>
      </c>
      <c r="G77" s="10" t="s">
        <v>21</v>
      </c>
      <c r="H77" s="10">
        <v>1</v>
      </c>
      <c r="I77" s="10" t="s">
        <v>27</v>
      </c>
      <c r="J77" s="10">
        <v>2</v>
      </c>
      <c r="K77" s="10">
        <v>1</v>
      </c>
      <c r="L77" s="10">
        <v>16</v>
      </c>
      <c r="M77" s="10" t="s">
        <v>51</v>
      </c>
      <c r="N77" s="11">
        <v>4.583333333333333E-2</v>
      </c>
      <c r="O77" s="10">
        <v>-3</v>
      </c>
      <c r="P77" s="10">
        <v>0</v>
      </c>
      <c r="Q77" s="10">
        <v>1</v>
      </c>
      <c r="R77" s="10">
        <v>3</v>
      </c>
      <c r="S77" s="10">
        <v>0</v>
      </c>
      <c r="T77" s="12">
        <v>66</v>
      </c>
    </row>
    <row r="78" spans="1:20" hidden="1" x14ac:dyDescent="0.2">
      <c r="A78" s="2">
        <v>5</v>
      </c>
      <c r="B78" s="3">
        <v>15</v>
      </c>
      <c r="C78" s="3">
        <v>10</v>
      </c>
      <c r="D78" s="3">
        <v>5</v>
      </c>
      <c r="E78" s="3">
        <v>1</v>
      </c>
      <c r="F78" s="3">
        <v>0</v>
      </c>
      <c r="G78" s="3" t="s">
        <v>21</v>
      </c>
      <c r="H78" s="3">
        <v>1</v>
      </c>
      <c r="I78" s="3" t="s">
        <v>30</v>
      </c>
      <c r="J78" s="3">
        <v>1</v>
      </c>
      <c r="K78" s="3">
        <v>1</v>
      </c>
      <c r="L78" s="3">
        <v>16</v>
      </c>
      <c r="M78" s="3" t="s">
        <v>89</v>
      </c>
      <c r="N78" s="4">
        <v>1.0416666666666666E-2</v>
      </c>
      <c r="O78" s="3">
        <v>1</v>
      </c>
      <c r="P78" s="3">
        <v>1</v>
      </c>
      <c r="Q78" s="3">
        <v>0</v>
      </c>
      <c r="R78" s="3">
        <v>0</v>
      </c>
      <c r="S78" s="3">
        <v>0</v>
      </c>
      <c r="T78" s="5">
        <v>15</v>
      </c>
    </row>
    <row r="79" spans="1:20" ht="17" hidden="1" thickBot="1" x14ac:dyDescent="0.25">
      <c r="A79" s="9">
        <v>5</v>
      </c>
      <c r="B79" s="10">
        <v>15</v>
      </c>
      <c r="C79" s="10">
        <v>10</v>
      </c>
      <c r="D79" s="10">
        <v>5</v>
      </c>
      <c r="E79" s="10">
        <v>1</v>
      </c>
      <c r="F79" s="10">
        <v>0</v>
      </c>
      <c r="G79" s="10" t="s">
        <v>21</v>
      </c>
      <c r="H79" s="10">
        <v>1</v>
      </c>
      <c r="I79" s="10" t="s">
        <v>30</v>
      </c>
      <c r="J79" s="10">
        <v>1</v>
      </c>
      <c r="K79" s="10">
        <v>1</v>
      </c>
      <c r="L79" s="10">
        <v>16</v>
      </c>
      <c r="M79" s="10" t="s">
        <v>90</v>
      </c>
      <c r="N79" s="11">
        <v>4.0972222222222222E-2</v>
      </c>
      <c r="O79" s="10">
        <v>5</v>
      </c>
      <c r="P79" s="10">
        <v>5</v>
      </c>
      <c r="Q79" s="10">
        <v>0</v>
      </c>
      <c r="R79" s="10">
        <v>0</v>
      </c>
      <c r="S79" s="10">
        <v>0</v>
      </c>
      <c r="T79" s="12">
        <v>59</v>
      </c>
    </row>
  </sheetData>
  <conditionalFormatting sqref="D2:D1048444 O2:O1048444 D1048446:D104847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O1048446:O104847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ignoredErrors>
    <ignoredError sqref="I78:I79 I45:I46" twoDigitTextYear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Wars Analysis</vt:lpstr>
      <vt:lpstr>Wars to Analyze by Lineup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A. Ruth</dc:creator>
  <cp:lastModifiedBy>Conner A. Ruth</cp:lastModifiedBy>
  <dcterms:created xsi:type="dcterms:W3CDTF">2026-01-05T16:01:29Z</dcterms:created>
  <dcterms:modified xsi:type="dcterms:W3CDTF">2026-01-12T16:10:58Z</dcterms:modified>
</cp:coreProperties>
</file>